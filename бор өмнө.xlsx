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Q1\Desktop\AI_ACADEMY_BAASKA\SubG\"/>
    </mc:Choice>
  </mc:AlternateContent>
  <xr:revisionPtr revIDLastSave="0" documentId="13_ncr:1_{7FF8367F-D2AC-4FCE-810A-6C048BA41244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Pos Order Report" sheetId="1" r:id="rId1"/>
  </sheets>
  <definedNames>
    <definedName name="_xlnm._FilterDatabase" localSheetId="0" hidden="1">'Pos Order Report'!$A$3:$X$27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F33" i="1"/>
  <c r="F34" i="1"/>
  <c r="F35" i="1"/>
  <c r="F36" i="1"/>
  <c r="F37" i="1"/>
  <c r="F38" i="1"/>
  <c r="F39" i="1"/>
  <c r="F40" i="1"/>
  <c r="F30" i="1"/>
  <c r="F3" i="1"/>
</calcChain>
</file>

<file path=xl/sharedStrings.xml><?xml version="1.0" encoding="utf-8"?>
<sst xmlns="http://schemas.openxmlformats.org/spreadsheetml/2006/main" count="127" uniqueCount="115">
  <si>
    <t>Д/д</t>
  </si>
  <si>
    <t>Дотоод код</t>
  </si>
  <si>
    <t>Нэр</t>
  </si>
  <si>
    <t>Үйлдвэрлэгч</t>
  </si>
  <si>
    <t>Худалдах үнэ</t>
  </si>
  <si>
    <t>Борлуулалт</t>
  </si>
  <si>
    <t>Буцаалт</t>
  </si>
  <si>
    <t>Цэвэр дүн</t>
  </si>
  <si>
    <t>Юпойнт цуглуулалт</t>
  </si>
  <si>
    <t>Юпойнт зарцуулалт</t>
  </si>
  <si>
    <t>Монос цуглуулалт</t>
  </si>
  <si>
    <t>Монос зарцуулалт</t>
  </si>
  <si>
    <t>Тоо</t>
  </si>
  <si>
    <t>Нийт дүн</t>
  </si>
  <si>
    <t>Хөнгөлөлт тоо ширхэг</t>
  </si>
  <si>
    <t>Хөнгөлөлт</t>
  </si>
  <si>
    <t>Урамшуулал тоо</t>
  </si>
  <si>
    <t>Урамшуулал</t>
  </si>
  <si>
    <t>Купон</t>
  </si>
  <si>
    <t>Монос Фарм ХХК</t>
  </si>
  <si>
    <t>Denk Pharma GmbH &amp; Co.KG</t>
  </si>
  <si>
    <t>PT. Dankos Farma</t>
  </si>
  <si>
    <t>KRKA, tovarna zdravil, d.d</t>
  </si>
  <si>
    <t>Novartis Pharma Services Inc</t>
  </si>
  <si>
    <t>LEK Pharmaceuticals d.d</t>
  </si>
  <si>
    <t>1.95</t>
  </si>
  <si>
    <t>0102126</t>
  </si>
  <si>
    <t>Зилт 75мг №28</t>
  </si>
  <si>
    <t>1.99</t>
  </si>
  <si>
    <t>0102745</t>
  </si>
  <si>
    <t>Плавикс 75мг №28</t>
  </si>
  <si>
    <t>Sanofi-Aventis Private</t>
  </si>
  <si>
    <t>1.100</t>
  </si>
  <si>
    <t>0102778</t>
  </si>
  <si>
    <t>Клопи-Денк 75мг №30</t>
  </si>
  <si>
    <t>1.176</t>
  </si>
  <si>
    <t>0105173</t>
  </si>
  <si>
    <t>Вамлосет 10мг/160мг №30</t>
  </si>
  <si>
    <t>1.182</t>
  </si>
  <si>
    <t>0106145</t>
  </si>
  <si>
    <t>Этекс цитиколин 500мг №20</t>
  </si>
  <si>
    <t>Theragen Etex Co.,Ltd</t>
  </si>
  <si>
    <t>1.241</t>
  </si>
  <si>
    <t>0100998</t>
  </si>
  <si>
    <t>Амоксиклав 625мг №15</t>
  </si>
  <si>
    <t>Medochemie Ltd</t>
  </si>
  <si>
    <t>Daewon Pharm. Co.,Ltd.</t>
  </si>
  <si>
    <t>PharmaVision Europe OOD</t>
  </si>
  <si>
    <t>1.285</t>
  </si>
  <si>
    <t>0105772</t>
  </si>
  <si>
    <t>Бетаклав 500мг+125мг №14</t>
  </si>
  <si>
    <t>1.290</t>
  </si>
  <si>
    <t>0106447</t>
  </si>
  <si>
    <t>Моксиклав 625мг №16</t>
  </si>
  <si>
    <t>1.308</t>
  </si>
  <si>
    <t>0102931</t>
  </si>
  <si>
    <t>Брайнакт 500мг №30</t>
  </si>
  <si>
    <t>Mega Lifesciences Pty.Ltd</t>
  </si>
  <si>
    <t>AstraZeneca UK Limited</t>
  </si>
  <si>
    <t>1.448</t>
  </si>
  <si>
    <t>0107433</t>
  </si>
  <si>
    <t>Форсига 10мг №28</t>
  </si>
  <si>
    <t>1.481</t>
  </si>
  <si>
    <t>0110058</t>
  </si>
  <si>
    <t>Эксфорж 10мг/160мг №28</t>
  </si>
  <si>
    <t>1.562</t>
  </si>
  <si>
    <t>0112025</t>
  </si>
  <si>
    <t>Фоцигли №28 шахмал</t>
  </si>
  <si>
    <t>Sinil Pharmaceutical Co.,LTD</t>
  </si>
  <si>
    <t>2.4</t>
  </si>
  <si>
    <t>0100485</t>
  </si>
  <si>
    <t>Нефромон 100мл</t>
  </si>
  <si>
    <t>2.24</t>
  </si>
  <si>
    <t>0102477</t>
  </si>
  <si>
    <t>Урсомон 250мг №50</t>
  </si>
  <si>
    <t>2.50</t>
  </si>
  <si>
    <t>0100587</t>
  </si>
  <si>
    <t>Терафлю №10</t>
  </si>
  <si>
    <t>Haleon Hungary Kft</t>
  </si>
  <si>
    <t>The Himalaya Drug Company</t>
  </si>
  <si>
    <t>2.76</t>
  </si>
  <si>
    <t>0100261</t>
  </si>
  <si>
    <t>Урсофальк 250мг №100</t>
  </si>
  <si>
    <t>Dr Falk Pharma GmbH</t>
  </si>
  <si>
    <t>Bionorica SE</t>
  </si>
  <si>
    <t>2.164</t>
  </si>
  <si>
    <t>0103425</t>
  </si>
  <si>
    <t>Грипоблок жуниор №12</t>
  </si>
  <si>
    <t>2.213</t>
  </si>
  <si>
    <t>0103511</t>
  </si>
  <si>
    <t>Гофен 400мг №50</t>
  </si>
  <si>
    <t>2.305</t>
  </si>
  <si>
    <t>0100582</t>
  </si>
  <si>
    <t>Ибупрофен-Денк 400мг №100</t>
  </si>
  <si>
    <t>2.332</t>
  </si>
  <si>
    <t>0102912</t>
  </si>
  <si>
    <t>Канефрон H №60</t>
  </si>
  <si>
    <t>2.340</t>
  </si>
  <si>
    <t>0103525</t>
  </si>
  <si>
    <t>Цистон №60</t>
  </si>
  <si>
    <t>2.350</t>
  </si>
  <si>
    <t>0107400</t>
  </si>
  <si>
    <t>АнвиМакс нимбэг №12</t>
  </si>
  <si>
    <t>Pharmproject JSC</t>
  </si>
  <si>
    <t>2.381</t>
  </si>
  <si>
    <t>0109502</t>
  </si>
  <si>
    <t>Нэцурью 1.1гр №12 - мөхлөг</t>
  </si>
  <si>
    <t>Shiseido Pharmaceutical Inc</t>
  </si>
  <si>
    <t>2.386</t>
  </si>
  <si>
    <t>0109794</t>
  </si>
  <si>
    <t>Колдвон Nose S сироп №20</t>
  </si>
  <si>
    <t>Dong-A ST Co.,Ltd</t>
  </si>
  <si>
    <t>2.410</t>
  </si>
  <si>
    <t>0110811</t>
  </si>
  <si>
    <t>Панпирин Кю 20мл №5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</si>
</sst>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0.00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7F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right" wrapText="1"/>
    </xf>
    <xf numFmtId="0" fontId="0" fillId="0" borderId="0" xfId="0" applyAlignment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0"/>
  <sheetViews>
    <sheetView tabSelected="1" topLeftCell="J1" workbookViewId="0">
      <selection activeCell="Y1" sqref="Y1:Y1048576"/>
    </sheetView>
  </sheetViews>
  <sheetFormatPr defaultRowHeight="14.25" outlineLevelRow="3" x14ac:dyDescent="0.45"/>
  <cols>
    <col min="1" max="1" width="4.6640625" customWidth="1"/>
    <col min="2" max="2" width="10.6640625" style="7" customWidth="1"/>
    <col min="3" max="3" width="40.6640625" style="4" customWidth="1"/>
    <col min="4" max="4" width="12.6640625" style="4" customWidth="1"/>
    <col min="5" max="16" width="12.6640625" customWidth="1"/>
    <col min="17" max="19" width="8.86328125" customWidth="1"/>
    <col min="20" max="20" width="11.6640625" bestFit="1" customWidth="1"/>
    <col min="21" max="24" width="8.86328125" customWidth="1"/>
  </cols>
  <sheetData>
    <row r="1" spans="1:24" x14ac:dyDescent="0.45">
      <c r="A1" s="8" t="s">
        <v>0</v>
      </c>
      <c r="B1" s="8" t="s">
        <v>1</v>
      </c>
      <c r="C1" s="9" t="s">
        <v>2</v>
      </c>
      <c r="D1" s="9" t="s">
        <v>3</v>
      </c>
      <c r="E1" s="8" t="s">
        <v>4</v>
      </c>
      <c r="F1" s="8" t="s">
        <v>5</v>
      </c>
      <c r="G1" s="8"/>
      <c r="H1" s="8"/>
      <c r="I1" s="8"/>
      <c r="J1" s="8"/>
      <c r="K1" s="8"/>
      <c r="L1" s="8"/>
      <c r="M1" s="8" t="s">
        <v>6</v>
      </c>
      <c r="N1" s="8"/>
      <c r="O1" s="8"/>
      <c r="P1" s="8"/>
      <c r="Q1" s="8"/>
      <c r="R1" s="8"/>
      <c r="S1" s="8" t="s">
        <v>7</v>
      </c>
      <c r="T1" s="8"/>
      <c r="U1" s="8" t="s">
        <v>8</v>
      </c>
      <c r="V1" s="8" t="s">
        <v>9</v>
      </c>
      <c r="W1" s="8" t="s">
        <v>10</v>
      </c>
      <c r="X1" s="8" t="s">
        <v>11</v>
      </c>
    </row>
    <row r="2" spans="1:24" ht="23.25" x14ac:dyDescent="0.45">
      <c r="A2" s="8"/>
      <c r="B2" s="8"/>
      <c r="C2" s="9"/>
      <c r="D2" s="9"/>
      <c r="E2" s="8"/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12</v>
      </c>
      <c r="T2" s="1" t="s">
        <v>13</v>
      </c>
      <c r="U2" s="8"/>
      <c r="V2" s="8"/>
      <c r="W2" s="8"/>
      <c r="X2" s="8"/>
    </row>
    <row r="3" spans="1:24" outlineLevel="3" x14ac:dyDescent="0.45">
      <c r="A3" s="2" t="s">
        <v>25</v>
      </c>
      <c r="B3" s="6" t="s">
        <v>26</v>
      </c>
      <c r="C3" s="5" t="s">
        <v>27</v>
      </c>
      <c r="D3" s="5" t="s">
        <v>22</v>
      </c>
      <c r="E3" s="3"/>
      <c r="F3" s="3">
        <f>179.5353/3</f>
        <v>59.845100000000002</v>
      </c>
      <c r="G3" s="3"/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59.845100000000002</v>
      </c>
      <c r="T3" s="3"/>
      <c r="U3" s="3">
        <v>0</v>
      </c>
      <c r="V3" s="3">
        <v>0</v>
      </c>
      <c r="W3" s="3">
        <v>0</v>
      </c>
      <c r="X3" s="3">
        <v>0</v>
      </c>
    </row>
    <row r="4" spans="1:24" outlineLevel="3" x14ac:dyDescent="0.45">
      <c r="A4" s="2" t="s">
        <v>28</v>
      </c>
      <c r="B4" s="6" t="s">
        <v>29</v>
      </c>
      <c r="C4" s="5" t="s">
        <v>30</v>
      </c>
      <c r="D4" s="5" t="s">
        <v>31</v>
      </c>
      <c r="E4" s="3"/>
      <c r="F4" s="3">
        <v>3</v>
      </c>
      <c r="G4" s="3"/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</v>
      </c>
      <c r="T4" s="3"/>
      <c r="U4" s="3">
        <v>0</v>
      </c>
      <c r="V4" s="3">
        <v>0</v>
      </c>
      <c r="W4" s="3">
        <v>0</v>
      </c>
      <c r="X4" s="3">
        <v>0</v>
      </c>
    </row>
    <row r="5" spans="1:24" ht="13.25" customHeight="1" outlineLevel="3" x14ac:dyDescent="0.45">
      <c r="A5" s="2" t="s">
        <v>32</v>
      </c>
      <c r="B5" s="6" t="s">
        <v>33</v>
      </c>
      <c r="C5" s="5" t="s">
        <v>34</v>
      </c>
      <c r="D5" s="5" t="s">
        <v>20</v>
      </c>
      <c r="E5" s="3"/>
      <c r="F5" s="3">
        <v>6</v>
      </c>
      <c r="G5" s="3"/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6</v>
      </c>
      <c r="T5" s="3"/>
      <c r="U5" s="3">
        <v>0</v>
      </c>
      <c r="V5" s="3">
        <v>0</v>
      </c>
      <c r="W5" s="3">
        <v>0</v>
      </c>
      <c r="X5" s="3">
        <v>0</v>
      </c>
    </row>
    <row r="6" spans="1:24" ht="13.25" customHeight="1" outlineLevel="3" x14ac:dyDescent="0.45">
      <c r="A6" s="2" t="s">
        <v>35</v>
      </c>
      <c r="B6" s="6" t="s">
        <v>36</v>
      </c>
      <c r="C6" s="5" t="s">
        <v>37</v>
      </c>
      <c r="D6" s="5" t="s">
        <v>22</v>
      </c>
      <c r="E6" s="3"/>
      <c r="F6" s="3">
        <v>4</v>
      </c>
      <c r="G6" s="3"/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4</v>
      </c>
      <c r="T6" s="3"/>
      <c r="U6" s="3">
        <v>0</v>
      </c>
      <c r="V6" s="3">
        <v>0</v>
      </c>
      <c r="W6" s="3">
        <v>0</v>
      </c>
      <c r="X6" s="3">
        <v>0</v>
      </c>
    </row>
    <row r="7" spans="1:24" ht="13.25" customHeight="1" outlineLevel="3" x14ac:dyDescent="0.45">
      <c r="A7" s="2" t="s">
        <v>38</v>
      </c>
      <c r="B7" s="6" t="s">
        <v>39</v>
      </c>
      <c r="C7" s="5" t="s">
        <v>40</v>
      </c>
      <c r="D7" s="5" t="s">
        <v>41</v>
      </c>
      <c r="E7" s="3"/>
      <c r="F7" s="3">
        <v>7</v>
      </c>
      <c r="G7" s="3"/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7</v>
      </c>
      <c r="T7" s="3"/>
      <c r="U7" s="3">
        <v>0</v>
      </c>
      <c r="V7" s="3">
        <v>0</v>
      </c>
      <c r="W7" s="3">
        <v>0</v>
      </c>
      <c r="X7" s="3">
        <v>0</v>
      </c>
    </row>
    <row r="8" spans="1:24" ht="13.25" customHeight="1" outlineLevel="3" x14ac:dyDescent="0.45">
      <c r="A8" s="2" t="s">
        <v>42</v>
      </c>
      <c r="B8" s="6" t="s">
        <v>43</v>
      </c>
      <c r="C8" s="5" t="s">
        <v>44</v>
      </c>
      <c r="D8" s="5" t="s">
        <v>24</v>
      </c>
      <c r="E8" s="3"/>
      <c r="F8" s="3">
        <v>24</v>
      </c>
      <c r="G8" s="3"/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24</v>
      </c>
      <c r="T8" s="3"/>
      <c r="U8" s="3">
        <v>0</v>
      </c>
      <c r="V8" s="3">
        <v>0</v>
      </c>
      <c r="W8" s="3">
        <v>0</v>
      </c>
      <c r="X8" s="3">
        <v>391</v>
      </c>
    </row>
    <row r="9" spans="1:24" ht="13.25" customHeight="1" outlineLevel="3" x14ac:dyDescent="0.45">
      <c r="A9" s="2" t="s">
        <v>48</v>
      </c>
      <c r="B9" s="6" t="s">
        <v>49</v>
      </c>
      <c r="C9" s="5" t="s">
        <v>50</v>
      </c>
      <c r="D9" s="5" t="s">
        <v>22</v>
      </c>
      <c r="E9" s="3"/>
      <c r="F9" s="3">
        <v>1</v>
      </c>
      <c r="G9" s="3"/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1</v>
      </c>
      <c r="T9" s="3"/>
      <c r="U9" s="3">
        <v>0</v>
      </c>
      <c r="V9" s="3">
        <v>0</v>
      </c>
      <c r="W9" s="3">
        <v>0</v>
      </c>
      <c r="X9" s="3">
        <v>0</v>
      </c>
    </row>
    <row r="10" spans="1:24" ht="13.25" customHeight="1" outlineLevel="3" x14ac:dyDescent="0.45">
      <c r="A10" s="2" t="s">
        <v>51</v>
      </c>
      <c r="B10" s="6" t="s">
        <v>52</v>
      </c>
      <c r="C10" s="5" t="s">
        <v>53</v>
      </c>
      <c r="D10" s="5" t="s">
        <v>45</v>
      </c>
      <c r="E10" s="3"/>
      <c r="F10" s="3">
        <v>0</v>
      </c>
      <c r="G10" s="3"/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/>
      <c r="U10" s="3">
        <v>0</v>
      </c>
      <c r="V10" s="3">
        <v>0</v>
      </c>
      <c r="W10" s="3">
        <v>0</v>
      </c>
      <c r="X10" s="3">
        <v>0</v>
      </c>
    </row>
    <row r="11" spans="1:24" ht="13.25" customHeight="1" outlineLevel="3" x14ac:dyDescent="0.45">
      <c r="A11" s="2" t="s">
        <v>54</v>
      </c>
      <c r="B11" s="6" t="s">
        <v>55</v>
      </c>
      <c r="C11" s="5" t="s">
        <v>56</v>
      </c>
      <c r="D11" s="5" t="s">
        <v>21</v>
      </c>
      <c r="E11" s="3"/>
      <c r="F11" s="3">
        <v>12</v>
      </c>
      <c r="G11" s="3"/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12</v>
      </c>
      <c r="T11" s="3"/>
      <c r="U11" s="3">
        <v>0</v>
      </c>
      <c r="V11" s="3">
        <v>0</v>
      </c>
      <c r="W11" s="3">
        <v>0</v>
      </c>
      <c r="X11" s="3">
        <v>0</v>
      </c>
    </row>
    <row r="12" spans="1:24" ht="13.25" customHeight="1" outlineLevel="3" x14ac:dyDescent="0.45">
      <c r="A12" s="2" t="s">
        <v>59</v>
      </c>
      <c r="B12" s="6" t="s">
        <v>60</v>
      </c>
      <c r="C12" s="5" t="s">
        <v>61</v>
      </c>
      <c r="D12" s="5" t="s">
        <v>58</v>
      </c>
      <c r="E12" s="3"/>
      <c r="F12" s="3">
        <v>8</v>
      </c>
      <c r="G12" s="3"/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8</v>
      </c>
      <c r="T12" s="3"/>
      <c r="U12" s="3">
        <v>0</v>
      </c>
      <c r="V12" s="3">
        <v>0</v>
      </c>
      <c r="W12" s="3">
        <v>0</v>
      </c>
      <c r="X12" s="3">
        <v>0</v>
      </c>
    </row>
    <row r="13" spans="1:24" ht="13.25" customHeight="1" outlineLevel="3" x14ac:dyDescent="0.45">
      <c r="A13" s="2" t="s">
        <v>62</v>
      </c>
      <c r="B13" s="6" t="s">
        <v>63</v>
      </c>
      <c r="C13" s="5" t="s">
        <v>64</v>
      </c>
      <c r="D13" s="5" t="s">
        <v>23</v>
      </c>
      <c r="E13" s="3"/>
      <c r="F13" s="3">
        <v>20</v>
      </c>
      <c r="G13" s="3"/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/>
      <c r="U13" s="3">
        <v>0</v>
      </c>
      <c r="V13" s="3">
        <v>0</v>
      </c>
      <c r="W13" s="3">
        <v>0</v>
      </c>
      <c r="X13" s="3">
        <v>0</v>
      </c>
    </row>
    <row r="14" spans="1:24" ht="13.25" customHeight="1" outlineLevel="3" x14ac:dyDescent="0.45">
      <c r="A14" s="2" t="s">
        <v>65</v>
      </c>
      <c r="B14" s="6" t="s">
        <v>66</v>
      </c>
      <c r="C14" s="5" t="s">
        <v>67</v>
      </c>
      <c r="D14" s="5" t="s">
        <v>68</v>
      </c>
      <c r="E14" s="3"/>
      <c r="F14" s="3">
        <v>0</v>
      </c>
      <c r="G14" s="3"/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/>
      <c r="U14" s="3">
        <v>0</v>
      </c>
      <c r="V14" s="3">
        <v>0</v>
      </c>
      <c r="W14" s="3">
        <v>0</v>
      </c>
      <c r="X14" s="3">
        <v>0</v>
      </c>
    </row>
    <row r="15" spans="1:24" ht="13.25" customHeight="1" outlineLevel="3" x14ac:dyDescent="0.45">
      <c r="A15" s="2" t="s">
        <v>69</v>
      </c>
      <c r="B15" s="6" t="s">
        <v>70</v>
      </c>
      <c r="C15" s="5" t="s">
        <v>71</v>
      </c>
      <c r="D15" s="5" t="s">
        <v>19</v>
      </c>
      <c r="E15" s="3"/>
      <c r="F15" s="3">
        <v>0.6</v>
      </c>
      <c r="G15" s="3"/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0.6</v>
      </c>
      <c r="T15" s="3"/>
      <c r="U15" s="3">
        <v>0</v>
      </c>
      <c r="V15" s="3">
        <v>0</v>
      </c>
      <c r="W15" s="3">
        <v>0</v>
      </c>
      <c r="X15" s="3">
        <v>0</v>
      </c>
    </row>
    <row r="16" spans="1:24" ht="13.25" customHeight="1" outlineLevel="3" x14ac:dyDescent="0.45">
      <c r="A16" s="2" t="s">
        <v>72</v>
      </c>
      <c r="B16" s="6" t="s">
        <v>73</v>
      </c>
      <c r="C16" s="5" t="s">
        <v>74</v>
      </c>
      <c r="D16" s="5" t="s">
        <v>19</v>
      </c>
      <c r="E16" s="3"/>
      <c r="F16" s="3">
        <v>8</v>
      </c>
      <c r="G16" s="3"/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8</v>
      </c>
      <c r="T16" s="3"/>
      <c r="U16" s="3">
        <v>0</v>
      </c>
      <c r="V16" s="3">
        <v>0</v>
      </c>
      <c r="W16" s="3">
        <v>637</v>
      </c>
      <c r="X16" s="3">
        <v>7968</v>
      </c>
    </row>
    <row r="17" spans="1:24" ht="13.25" customHeight="1" outlineLevel="3" x14ac:dyDescent="0.45">
      <c r="A17" s="2" t="s">
        <v>75</v>
      </c>
      <c r="B17" s="6" t="s">
        <v>76</v>
      </c>
      <c r="C17" s="5" t="s">
        <v>77</v>
      </c>
      <c r="D17" s="5" t="s">
        <v>78</v>
      </c>
      <c r="E17" s="3"/>
      <c r="F17" s="3">
        <v>7.7166666666666766</v>
      </c>
      <c r="G17" s="3"/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7.7166666666666766</v>
      </c>
      <c r="T17" s="3"/>
      <c r="U17" s="3">
        <v>0</v>
      </c>
      <c r="V17" s="3">
        <v>0</v>
      </c>
      <c r="W17" s="3">
        <v>0</v>
      </c>
      <c r="X17" s="3">
        <v>3866</v>
      </c>
    </row>
    <row r="18" spans="1:24" ht="13.25" customHeight="1" outlineLevel="3" x14ac:dyDescent="0.45">
      <c r="A18" s="2" t="s">
        <v>80</v>
      </c>
      <c r="B18" s="6" t="s">
        <v>81</v>
      </c>
      <c r="C18" s="5" t="s">
        <v>82</v>
      </c>
      <c r="D18" s="5" t="s">
        <v>83</v>
      </c>
      <c r="E18" s="3"/>
      <c r="F18" s="3">
        <v>6.3633333333333368</v>
      </c>
      <c r="G18" s="3"/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6.3633333333333368</v>
      </c>
      <c r="T18" s="3"/>
      <c r="U18" s="3">
        <v>0</v>
      </c>
      <c r="V18" s="3">
        <v>0</v>
      </c>
      <c r="W18" s="3">
        <v>0</v>
      </c>
      <c r="X18" s="3">
        <v>0</v>
      </c>
    </row>
    <row r="19" spans="1:24" ht="13.25" customHeight="1" outlineLevel="3" x14ac:dyDescent="0.45">
      <c r="A19" s="2" t="s">
        <v>85</v>
      </c>
      <c r="B19" s="6" t="s">
        <v>86</v>
      </c>
      <c r="C19" s="5" t="s">
        <v>87</v>
      </c>
      <c r="D19" s="5" t="s">
        <v>47</v>
      </c>
      <c r="E19" s="3"/>
      <c r="F19" s="3">
        <v>0.58333333333333337</v>
      </c>
      <c r="G19" s="3"/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0.58333333333333337</v>
      </c>
      <c r="T19" s="3"/>
      <c r="U19" s="3">
        <v>0</v>
      </c>
      <c r="V19" s="3">
        <v>0</v>
      </c>
      <c r="W19" s="3">
        <v>0</v>
      </c>
      <c r="X19" s="3">
        <v>0</v>
      </c>
    </row>
    <row r="20" spans="1:24" ht="13.25" customHeight="1" outlineLevel="3" x14ac:dyDescent="0.45">
      <c r="A20" s="2" t="s">
        <v>88</v>
      </c>
      <c r="B20" s="6" t="s">
        <v>89</v>
      </c>
      <c r="C20" s="5" t="s">
        <v>90</v>
      </c>
      <c r="D20" s="5" t="s">
        <v>57</v>
      </c>
      <c r="E20" s="3"/>
      <c r="F20" s="3">
        <v>0.43333333333333351</v>
      </c>
      <c r="G20" s="3"/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0.43333333333333351</v>
      </c>
      <c r="T20" s="3"/>
      <c r="U20" s="3">
        <v>0</v>
      </c>
      <c r="V20" s="3">
        <v>0</v>
      </c>
      <c r="W20" s="3">
        <v>0</v>
      </c>
      <c r="X20" s="3">
        <v>0</v>
      </c>
    </row>
    <row r="21" spans="1:24" ht="13.25" customHeight="1" outlineLevel="3" x14ac:dyDescent="0.45">
      <c r="A21" s="2" t="s">
        <v>91</v>
      </c>
      <c r="B21" s="6" t="s">
        <v>92</v>
      </c>
      <c r="C21" s="5" t="s">
        <v>93</v>
      </c>
      <c r="D21" s="5" t="s">
        <v>20</v>
      </c>
      <c r="E21" s="3"/>
      <c r="F21" s="3">
        <v>4.7583333333333497</v>
      </c>
      <c r="G21" s="3"/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4.7583333333333497</v>
      </c>
      <c r="T21" s="3"/>
      <c r="U21" s="3">
        <v>0</v>
      </c>
      <c r="V21" s="3">
        <v>0</v>
      </c>
      <c r="W21" s="3">
        <v>0</v>
      </c>
      <c r="X21" s="3">
        <v>4708</v>
      </c>
    </row>
    <row r="22" spans="1:24" ht="13.25" customHeight="1" outlineLevel="3" x14ac:dyDescent="0.45">
      <c r="A22" s="2" t="s">
        <v>94</v>
      </c>
      <c r="B22" s="6" t="s">
        <v>95</v>
      </c>
      <c r="C22" s="5" t="s">
        <v>96</v>
      </c>
      <c r="D22" s="5" t="s">
        <v>84</v>
      </c>
      <c r="E22" s="3"/>
      <c r="F22" s="3">
        <v>7.9533333333333376</v>
      </c>
      <c r="G22" s="3"/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7.9533333333333376</v>
      </c>
      <c r="T22" s="3"/>
      <c r="U22" s="3">
        <v>0</v>
      </c>
      <c r="V22" s="3">
        <v>0</v>
      </c>
      <c r="W22" s="3">
        <v>0</v>
      </c>
      <c r="X22" s="3">
        <v>0</v>
      </c>
    </row>
    <row r="23" spans="1:24" ht="13.25" customHeight="1" outlineLevel="3" x14ac:dyDescent="0.45">
      <c r="A23" s="2" t="s">
        <v>97</v>
      </c>
      <c r="B23" s="6" t="s">
        <v>98</v>
      </c>
      <c r="C23" s="5" t="s">
        <v>99</v>
      </c>
      <c r="D23" s="5" t="s">
        <v>79</v>
      </c>
      <c r="E23" s="3"/>
      <c r="F23" s="3">
        <v>15</v>
      </c>
      <c r="G23" s="3"/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15</v>
      </c>
      <c r="T23" s="3"/>
      <c r="U23" s="3">
        <v>0</v>
      </c>
      <c r="V23" s="3">
        <v>0</v>
      </c>
      <c r="W23" s="3">
        <v>0</v>
      </c>
      <c r="X23" s="3">
        <v>0</v>
      </c>
    </row>
    <row r="24" spans="1:24" ht="13.25" customHeight="1" outlineLevel="3" x14ac:dyDescent="0.45">
      <c r="A24" s="2" t="s">
        <v>100</v>
      </c>
      <c r="B24" s="6" t="s">
        <v>101</v>
      </c>
      <c r="C24" s="5" t="s">
        <v>102</v>
      </c>
      <c r="D24" s="5" t="s">
        <v>103</v>
      </c>
      <c r="E24" s="3"/>
      <c r="F24" s="3">
        <v>5.4730666666666705</v>
      </c>
      <c r="G24" s="3"/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5.4730666666666705</v>
      </c>
      <c r="T24" s="3"/>
      <c r="U24" s="3">
        <v>0</v>
      </c>
      <c r="V24" s="3">
        <v>0</v>
      </c>
      <c r="W24" s="3">
        <v>0</v>
      </c>
      <c r="X24" s="3">
        <v>456</v>
      </c>
    </row>
    <row r="25" spans="1:24" ht="13.25" customHeight="1" outlineLevel="3" x14ac:dyDescent="0.45">
      <c r="A25" s="2" t="s">
        <v>104</v>
      </c>
      <c r="B25" s="6" t="s">
        <v>105</v>
      </c>
      <c r="C25" s="5" t="s">
        <v>106</v>
      </c>
      <c r="D25" s="5" t="s">
        <v>107</v>
      </c>
      <c r="E25" s="3"/>
      <c r="F25" s="3">
        <v>0.375</v>
      </c>
      <c r="G25" s="3"/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0.375</v>
      </c>
      <c r="T25" s="3"/>
      <c r="U25" s="3">
        <v>0</v>
      </c>
      <c r="V25" s="3">
        <v>0</v>
      </c>
      <c r="W25" s="3">
        <v>0</v>
      </c>
      <c r="X25" s="3">
        <v>0</v>
      </c>
    </row>
    <row r="26" spans="1:24" ht="13.25" customHeight="1" outlineLevel="3" x14ac:dyDescent="0.45">
      <c r="A26" s="2" t="s">
        <v>108</v>
      </c>
      <c r="B26" s="6" t="s">
        <v>109</v>
      </c>
      <c r="C26" s="5" t="s">
        <v>110</v>
      </c>
      <c r="D26" s="5" t="s">
        <v>46</v>
      </c>
      <c r="E26" s="3"/>
      <c r="F26" s="3">
        <v>2.9</v>
      </c>
      <c r="G26" s="3"/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2.9</v>
      </c>
      <c r="T26" s="3"/>
      <c r="U26" s="3">
        <v>0</v>
      </c>
      <c r="V26" s="3">
        <v>0</v>
      </c>
      <c r="W26" s="3">
        <v>0</v>
      </c>
      <c r="X26" s="3">
        <v>0</v>
      </c>
    </row>
    <row r="27" spans="1:24" ht="13.25" customHeight="1" outlineLevel="3" x14ac:dyDescent="0.45">
      <c r="A27" s="2" t="s">
        <v>112</v>
      </c>
      <c r="B27" s="6" t="s">
        <v>113</v>
      </c>
      <c r="C27" s="5" t="s">
        <v>114</v>
      </c>
      <c r="D27" s="5" t="s">
        <v>111</v>
      </c>
      <c r="E27" s="3"/>
      <c r="F27" s="3">
        <v>0.46666666666666662</v>
      </c>
      <c r="G27" s="3"/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0.46666666666666662</v>
      </c>
      <c r="T27" s="3"/>
      <c r="U27" s="3">
        <v>0</v>
      </c>
      <c r="V27" s="3">
        <v>0</v>
      </c>
      <c r="W27" s="3">
        <v>0</v>
      </c>
      <c r="X27" s="3">
        <v>0</v>
      </c>
    </row>
    <row r="30" spans="1:24" x14ac:dyDescent="0.45">
      <c r="E30" s="3">
        <v>46.300000000000061</v>
      </c>
      <c r="F30">
        <f>E30/6</f>
        <v>7.7166666666666766</v>
      </c>
    </row>
    <row r="31" spans="1:24" x14ac:dyDescent="0.45">
      <c r="E31" s="3">
        <v>38.180000000000021</v>
      </c>
      <c r="F31">
        <f t="shared" ref="F31:F40" si="0">E31/6</f>
        <v>6.3633333333333368</v>
      </c>
    </row>
    <row r="32" spans="1:24" x14ac:dyDescent="0.45">
      <c r="E32" s="3">
        <v>3.5</v>
      </c>
      <c r="F32">
        <f t="shared" si="0"/>
        <v>0.58333333333333337</v>
      </c>
    </row>
    <row r="33" spans="5:6" x14ac:dyDescent="0.45">
      <c r="E33" s="3">
        <v>2.600000000000001</v>
      </c>
      <c r="F33">
        <f t="shared" si="0"/>
        <v>0.43333333333333351</v>
      </c>
    </row>
    <row r="34" spans="5:6" x14ac:dyDescent="0.45">
      <c r="E34" s="3">
        <v>28.5500000000001</v>
      </c>
      <c r="F34">
        <f t="shared" si="0"/>
        <v>4.7583333333333497</v>
      </c>
    </row>
    <row r="35" spans="5:6" x14ac:dyDescent="0.45">
      <c r="E35" s="3">
        <v>47.720000000000027</v>
      </c>
      <c r="F35">
        <f t="shared" si="0"/>
        <v>7.9533333333333376</v>
      </c>
    </row>
    <row r="36" spans="5:6" x14ac:dyDescent="0.45">
      <c r="E36" s="3">
        <v>90</v>
      </c>
      <c r="F36">
        <f t="shared" si="0"/>
        <v>15</v>
      </c>
    </row>
    <row r="37" spans="5:6" x14ac:dyDescent="0.45">
      <c r="E37" s="3">
        <v>32.838400000000021</v>
      </c>
      <c r="F37">
        <f t="shared" si="0"/>
        <v>5.4730666666666705</v>
      </c>
    </row>
    <row r="38" spans="5:6" x14ac:dyDescent="0.45">
      <c r="E38" s="3">
        <v>2.25</v>
      </c>
      <c r="F38">
        <f t="shared" si="0"/>
        <v>0.375</v>
      </c>
    </row>
    <row r="39" spans="5:6" x14ac:dyDescent="0.45">
      <c r="E39" s="3">
        <v>17.399999999999999</v>
      </c>
      <c r="F39">
        <f t="shared" si="0"/>
        <v>2.9</v>
      </c>
    </row>
    <row r="40" spans="5:6" x14ac:dyDescent="0.45">
      <c r="E40" s="3">
        <v>2.8</v>
      </c>
      <c r="F40">
        <f t="shared" si="0"/>
        <v>0.46666666666666662</v>
      </c>
    </row>
  </sheetData>
  <mergeCells count="12">
    <mergeCell ref="W1:W2"/>
    <mergeCell ref="X1:X2"/>
    <mergeCell ref="E1:E2"/>
    <mergeCell ref="F1:L1"/>
    <mergeCell ref="M1:R1"/>
    <mergeCell ref="S1:T1"/>
    <mergeCell ref="U1:U2"/>
    <mergeCell ref="A1:A2"/>
    <mergeCell ref="B1:B2"/>
    <mergeCell ref="C1:C2"/>
    <mergeCell ref="D1:D2"/>
    <mergeCell ref="V1:V2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 Order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Монос Оффицер</dc:creator>
  <cp:keywords/>
  <dc:description/>
  <cp:lastModifiedBy>SQ1</cp:lastModifiedBy>
  <cp:revision/>
  <dcterms:created xsi:type="dcterms:W3CDTF">2026-08-30T11:45:43Z</dcterms:created>
  <dcterms:modified xsi:type="dcterms:W3CDTF">2026-09-04T02:06:12Z</dcterms:modified>
  <cp:category/>
  <cp:contentStatus/>
</cp:coreProperties>
</file>