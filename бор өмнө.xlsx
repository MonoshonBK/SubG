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Q1\Desktop\AI_ACADEMY_BAASKA\дата цэгцлэх\"/>
    </mc:Choice>
  </mc:AlternateContent>
  <xr:revisionPtr revIDLastSave="0" documentId="13_ncr:1_{DADBB82D-6226-4968-B134-9D106B01FAE8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Pos Order Report" sheetId="1" r:id="rId1"/>
  </sheets>
  <externalReferences>
    <externalReference r:id="rId2"/>
  </externalReferences>
  <definedNames>
    <definedName name="_xlnm._FilterDatabase" localSheetId="0" hidden="1">'Pos Order Report'!$A$3:$Y$27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3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</calcChain>
</file>

<file path=xl/sharedStrings.xml><?xml version="1.0" encoding="utf-8"?>
<sst xmlns="http://schemas.openxmlformats.org/spreadsheetml/2006/main" count="127" uniqueCount="115">
  <si>
    <t>Д/д</t>
  </si>
  <si>
    <t>Дотоод код</t>
  </si>
  <si>
    <t>Нэр</t>
  </si>
  <si>
    <t>Үйлдвэрлэгч</t>
  </si>
  <si>
    <t>Худалдах үнэ</t>
  </si>
  <si>
    <t>Борлуулалт</t>
  </si>
  <si>
    <t>Буцаалт</t>
  </si>
  <si>
    <t>Цэвэр дүн</t>
  </si>
  <si>
    <t>Юпойнт цуглуулалт</t>
  </si>
  <si>
    <t>Юпойнт зарцуулалт</t>
  </si>
  <si>
    <t>Монос цуглуулалт</t>
  </si>
  <si>
    <t>Монос зарцуулалт</t>
  </si>
  <si>
    <t>Тоо</t>
  </si>
  <si>
    <t>Нийт дүн</t>
  </si>
  <si>
    <t>Хөнгөлөлт тоо ширхэг</t>
  </si>
  <si>
    <t>Хөнгөлөлт</t>
  </si>
  <si>
    <t>Урамшуулал тоо</t>
  </si>
  <si>
    <t>Урамшуулал</t>
  </si>
  <si>
    <t>Купон</t>
  </si>
  <si>
    <t>Монос Фарм ХХК</t>
  </si>
  <si>
    <t>Denk Pharma GmbH &amp; Co.KG</t>
  </si>
  <si>
    <t>PT. Dankos Farma</t>
  </si>
  <si>
    <t>KRKA, tovarna zdravil, d.d</t>
  </si>
  <si>
    <t>Novartis Pharma Services Inc</t>
  </si>
  <si>
    <t>LEK Pharmaceuticals d.d</t>
  </si>
  <si>
    <t>1.95</t>
  </si>
  <si>
    <t>0102126</t>
  </si>
  <si>
    <t>Зилт 75мг №28</t>
  </si>
  <si>
    <t>1.99</t>
  </si>
  <si>
    <t>0102745</t>
  </si>
  <si>
    <t>Плавикс 75мг №28</t>
  </si>
  <si>
    <t>Sanofi-Aventis Private</t>
  </si>
  <si>
    <t>1.100</t>
  </si>
  <si>
    <t>0102778</t>
  </si>
  <si>
    <t>Клопи-Денк 75мг №30</t>
  </si>
  <si>
    <t>1.176</t>
  </si>
  <si>
    <t>0105173</t>
  </si>
  <si>
    <t>Вамлосет 10мг/160мг №30</t>
  </si>
  <si>
    <t>1.182</t>
  </si>
  <si>
    <t>0106145</t>
  </si>
  <si>
    <t>Этекс цитиколин 500мг №20</t>
  </si>
  <si>
    <t>Theragen Etex Co.,Ltd</t>
  </si>
  <si>
    <t>1.241</t>
  </si>
  <si>
    <t>0100998</t>
  </si>
  <si>
    <t>Амоксиклав 625мг №15</t>
  </si>
  <si>
    <t>Medochemie Ltd</t>
  </si>
  <si>
    <t>Daewon Pharm. Co.,Ltd.</t>
  </si>
  <si>
    <t>PharmaVision Europe OOD</t>
  </si>
  <si>
    <t>1.285</t>
  </si>
  <si>
    <t>0105772</t>
  </si>
  <si>
    <t>Бетаклав 500мг+125мг №14</t>
  </si>
  <si>
    <t>1.290</t>
  </si>
  <si>
    <t>0106447</t>
  </si>
  <si>
    <t>Моксиклав 625мг №16</t>
  </si>
  <si>
    <t>1.308</t>
  </si>
  <si>
    <t>0102931</t>
  </si>
  <si>
    <t>Брайнакт 500мг №30</t>
  </si>
  <si>
    <t>Mega Lifesciences Pty.Ltd</t>
  </si>
  <si>
    <t>AstraZeneca UK Limited</t>
  </si>
  <si>
    <t>1.448</t>
  </si>
  <si>
    <t>0107433</t>
  </si>
  <si>
    <t>Форсига 10мг №28</t>
  </si>
  <si>
    <t>1.481</t>
  </si>
  <si>
    <t>0110058</t>
  </si>
  <si>
    <t>Эксфорж 10мг/160мг №28</t>
  </si>
  <si>
    <t>1.562</t>
  </si>
  <si>
    <t>0112025</t>
  </si>
  <si>
    <t>Фоцигли №28 шахмал</t>
  </si>
  <si>
    <t>Sinil Pharmaceutical Co.,LTD</t>
  </si>
  <si>
    <t>2.4</t>
  </si>
  <si>
    <t>0100485</t>
  </si>
  <si>
    <t>Нефромон 100мл</t>
  </si>
  <si>
    <t>2.24</t>
  </si>
  <si>
    <t>0102477</t>
  </si>
  <si>
    <t>Урсомон 250мг №50</t>
  </si>
  <si>
    <t>2.50</t>
  </si>
  <si>
    <t>0100587</t>
  </si>
  <si>
    <t>Терафлю №10</t>
  </si>
  <si>
    <t>Haleon Hungary Kft</t>
  </si>
  <si>
    <t>The Himalaya Drug Company</t>
  </si>
  <si>
    <t>2.76</t>
  </si>
  <si>
    <t>0100261</t>
  </si>
  <si>
    <t>Урсофальк 250мг №100</t>
  </si>
  <si>
    <t>Dr Falk Pharma GmbH</t>
  </si>
  <si>
    <t>Bionorica SE</t>
  </si>
  <si>
    <t>2.164</t>
  </si>
  <si>
    <t>0103425</t>
  </si>
  <si>
    <t>Грипоблок жуниор №12</t>
  </si>
  <si>
    <t>2.213</t>
  </si>
  <si>
    <t>0103511</t>
  </si>
  <si>
    <t>Гофен 400мг №50</t>
  </si>
  <si>
    <t>2.305</t>
  </si>
  <si>
    <t>0100582</t>
  </si>
  <si>
    <t>Ибупрофен-Денк 400мг №100</t>
  </si>
  <si>
    <t>2.332</t>
  </si>
  <si>
    <t>0102912</t>
  </si>
  <si>
    <t>Канефрон H №60</t>
  </si>
  <si>
    <t>2.340</t>
  </si>
  <si>
    <t>0103525</t>
  </si>
  <si>
    <t>Цистон №60</t>
  </si>
  <si>
    <t>2.350</t>
  </si>
  <si>
    <t>0107400</t>
  </si>
  <si>
    <t>АнвиМакс нимбэг №12</t>
  </si>
  <si>
    <t>Pharmproject JSC</t>
  </si>
  <si>
    <t>2.381</t>
  </si>
  <si>
    <t>0109502</t>
  </si>
  <si>
    <t>Нэцурью 1.1гр №12 - мөхлөг</t>
  </si>
  <si>
    <t>Shiseido Pharmaceutical Inc</t>
  </si>
  <si>
    <t>2.386</t>
  </si>
  <si>
    <t>0109794</t>
  </si>
  <si>
    <t>Колдвон Nose S сироп №20</t>
  </si>
  <si>
    <t>Dong-A ST Co.,Ltd</t>
  </si>
  <si>
    <t>2.410</t>
  </si>
  <si>
    <t>0110811</t>
  </si>
  <si>
    <t>Панпирин Кю 20мл №5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</si>
</sst>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0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7F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164" fontId="1" fillId="0" borderId="1" xfId="0" applyNumberFormat="1" applyFont="1" applyBorder="1" applyAlignment="1">
      <alignment horizontal="right" wrapText="1"/>
    </xf>
    <xf numFmtId="0" fontId="0" fillId="0" borderId="0" xfId="0" applyAlignme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nuzolboo.t/AppData/Local/Microsoft/Windows/INetCache/Content.Outlook/YGIIDI8H/26.8&#1089;&#1072;&#1088;&#1099;&#1085;%20&#1090;&#1072;&#1081;&#1083;&#1072;&#1085;%20&#1058;&#1257;&#1074;&#1080;&#1081;&#1085;%20&#1073;&#1199;&#10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шборд"/>
      <sheetName val="НҮС"/>
      <sheetName val="ӨГС-н тэмдэглэл"/>
      <sheetName val="Sheet1"/>
      <sheetName val="ӨГС-н KPI"/>
      <sheetName val="Sheet2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0107433</v>
          </cell>
          <cell r="C2" t="str">
            <v>Форсига 10мг №28</v>
          </cell>
          <cell r="D2">
            <v>1</v>
          </cell>
        </row>
        <row r="3">
          <cell r="B3" t="str">
            <v>0110058</v>
          </cell>
          <cell r="C3" t="str">
            <v>Эксфорж 10мг/160мг №28</v>
          </cell>
          <cell r="D3">
            <v>2</v>
          </cell>
        </row>
        <row r="4">
          <cell r="B4" t="str">
            <v>0102126</v>
          </cell>
          <cell r="C4" t="str">
            <v>Зилт 75мг №28</v>
          </cell>
          <cell r="D4">
            <v>3</v>
          </cell>
        </row>
        <row r="5">
          <cell r="B5" t="str">
            <v>0100998</v>
          </cell>
          <cell r="C5" t="str">
            <v>Амоксиклав 625мг №15</v>
          </cell>
          <cell r="D5">
            <v>4</v>
          </cell>
        </row>
        <row r="6">
          <cell r="B6" t="str">
            <v>0102931</v>
          </cell>
          <cell r="C6" t="str">
            <v>Брайнакт 500мг №30</v>
          </cell>
          <cell r="D6">
            <v>5</v>
          </cell>
        </row>
        <row r="7">
          <cell r="B7" t="str">
            <v>0100261</v>
          </cell>
          <cell r="C7" t="str">
            <v>Урсофальк 250мг №100</v>
          </cell>
          <cell r="D7">
            <v>6</v>
          </cell>
        </row>
        <row r="8">
          <cell r="B8" t="str">
            <v>0100587</v>
          </cell>
          <cell r="C8" t="str">
            <v>Терафлю №10</v>
          </cell>
          <cell r="D8">
            <v>7</v>
          </cell>
        </row>
        <row r="9">
          <cell r="B9" t="str">
            <v>0100582</v>
          </cell>
          <cell r="C9" t="str">
            <v>Ибупрофен-Денк 400мг №100</v>
          </cell>
          <cell r="D9">
            <v>8</v>
          </cell>
        </row>
        <row r="10">
          <cell r="B10" t="str">
            <v>0109794</v>
          </cell>
          <cell r="C10" t="str">
            <v>Колдвон Nose S сироп №20</v>
          </cell>
          <cell r="D10">
            <v>9</v>
          </cell>
        </row>
        <row r="11">
          <cell r="B11" t="str">
            <v>0102912</v>
          </cell>
          <cell r="C11" t="str">
            <v>Канефрон H №60</v>
          </cell>
          <cell r="D11">
            <v>10</v>
          </cell>
        </row>
        <row r="12">
          <cell r="B12" t="str">
            <v>0112025</v>
          </cell>
          <cell r="C12" t="str">
            <v>Дапаглифлозин – Фоцигли 10мг №28</v>
          </cell>
          <cell r="D12">
            <v>11</v>
          </cell>
        </row>
        <row r="13">
          <cell r="B13" t="str">
            <v>0105173</v>
          </cell>
          <cell r="C13" t="str">
            <v>Вамлосет 10мг/160мг №30 бүрхүүлтэй шахмал KRKA</v>
          </cell>
          <cell r="D13">
            <v>12</v>
          </cell>
        </row>
        <row r="14">
          <cell r="B14" t="str">
            <v>0111906</v>
          </cell>
          <cell r="C14" t="str">
            <v>КлопиКейр (Клопидогрел) 75мг №30 - таблет - DSEABI</v>
          </cell>
          <cell r="D14">
            <v>13</v>
          </cell>
        </row>
        <row r="15">
          <cell r="B15" t="str">
            <v>0106447</v>
          </cell>
          <cell r="C15" t="str">
            <v>Моксиклав 625мг №16</v>
          </cell>
          <cell r="D15">
            <v>14</v>
          </cell>
        </row>
        <row r="16">
          <cell r="B16" t="str">
            <v>0106145</v>
          </cell>
          <cell r="C16" t="str">
            <v>Этекс Цитиколин 500мг №20</v>
          </cell>
          <cell r="D16">
            <v>15</v>
          </cell>
        </row>
        <row r="17">
          <cell r="B17" t="str">
            <v>0102477</v>
          </cell>
          <cell r="C17" t="str">
            <v>Урсомон 250мг №50</v>
          </cell>
          <cell r="D17">
            <v>16</v>
          </cell>
        </row>
        <row r="18">
          <cell r="B18" t="str">
            <v>0111893</v>
          </cell>
          <cell r="C18" t="str">
            <v>ФЛУРАПИД - Flurapid №8</v>
          </cell>
          <cell r="D18">
            <v>17</v>
          </cell>
        </row>
        <row r="19">
          <cell r="B19" t="str">
            <v>0103511</v>
          </cell>
          <cell r="C19" t="str">
            <v>Гофен №50</v>
          </cell>
          <cell r="D19">
            <v>18</v>
          </cell>
        </row>
        <row r="20">
          <cell r="B20" t="str">
            <v>0110811</v>
          </cell>
          <cell r="C20" t="str">
            <v>Панпирин Кю №5</v>
          </cell>
          <cell r="D20">
            <v>19</v>
          </cell>
        </row>
        <row r="21">
          <cell r="B21" t="str">
            <v>0531917</v>
          </cell>
          <cell r="C21" t="str">
            <v>Vitos shot Бөөр хамгаалах 20мл №15</v>
          </cell>
          <cell r="D21">
            <v>20</v>
          </cell>
        </row>
        <row r="22">
          <cell r="B22" t="str">
            <v>0111023</v>
          </cell>
          <cell r="C22" t="str">
            <v>Дапа-ДМП 10мг №28 шахмал</v>
          </cell>
          <cell r="D22">
            <v>21</v>
          </cell>
        </row>
        <row r="23">
          <cell r="B23" t="str">
            <v>0102778</v>
          </cell>
          <cell r="C23" t="str">
            <v>Клопи Денк 75мг №30</v>
          </cell>
          <cell r="D23">
            <v>22</v>
          </cell>
        </row>
        <row r="24">
          <cell r="B24" t="str">
            <v>0101478</v>
          </cell>
          <cell r="C24" t="str">
            <v>Амоксиклав-Денк500/62.5№14</v>
          </cell>
          <cell r="D24">
            <v>24</v>
          </cell>
        </row>
        <row r="25">
          <cell r="B25" t="str">
            <v>0107733</v>
          </cell>
          <cell r="C25" t="str">
            <v>Урса 250мг №30</v>
          </cell>
          <cell r="D25">
            <v>26</v>
          </cell>
        </row>
        <row r="26">
          <cell r="B26" t="str">
            <v>0107400</v>
          </cell>
          <cell r="C26" t="str">
            <v>АНВИМАКС №12</v>
          </cell>
          <cell r="D26">
            <v>27</v>
          </cell>
        </row>
        <row r="27">
          <cell r="B27" t="str">
            <v>0104832</v>
          </cell>
          <cell r="C27" t="str">
            <v>Ибупрофен 400мг №10/hawon/</v>
          </cell>
          <cell r="D27">
            <v>28</v>
          </cell>
        </row>
        <row r="28">
          <cell r="B28" t="str">
            <v>0106842</v>
          </cell>
          <cell r="C28" t="str">
            <v>ТАЙЛЕНОЛ №24</v>
          </cell>
          <cell r="D28">
            <v>29</v>
          </cell>
        </row>
        <row r="29">
          <cell r="B29" t="str">
            <v>0100485</v>
          </cell>
          <cell r="C29" t="str">
            <v xml:space="preserve">Нефромон 100мл сироп </v>
          </cell>
          <cell r="D29">
            <v>30</v>
          </cell>
        </row>
        <row r="30">
          <cell r="B30" t="str">
            <v>0111516</v>
          </cell>
          <cell r="C30" t="str">
            <v>Дапапрозин 10мг №28</v>
          </cell>
          <cell r="D30">
            <v>31</v>
          </cell>
        </row>
        <row r="31">
          <cell r="B31" t="str">
            <v>0102745</v>
          </cell>
          <cell r="C31" t="str">
            <v>Плавикс 75мг №28</v>
          </cell>
          <cell r="D31">
            <v>33</v>
          </cell>
        </row>
        <row r="32">
          <cell r="B32" t="str">
            <v>0105772</v>
          </cell>
          <cell r="C32" t="str">
            <v>Бетаклав 500мг+ 125мг №14</v>
          </cell>
          <cell r="D32">
            <v>34</v>
          </cell>
        </row>
        <row r="33">
          <cell r="B33" t="str">
            <v>0101457</v>
          </cell>
          <cell r="C33" t="str">
            <v>Урса 200мг №100 капсул Палома</v>
          </cell>
          <cell r="D33">
            <v>36</v>
          </cell>
        </row>
        <row r="34">
          <cell r="B34" t="str">
            <v>0103425</v>
          </cell>
          <cell r="C34" t="str">
            <v>Грипоблок том хүн нунт/уус N12</v>
          </cell>
          <cell r="D34">
            <v>37</v>
          </cell>
        </row>
        <row r="35">
          <cell r="B35" t="str">
            <v>0101607</v>
          </cell>
          <cell r="C35" t="str">
            <v>Ибупрофен 400мг №10/протеч/</v>
          </cell>
          <cell r="D35">
            <v>38</v>
          </cell>
        </row>
        <row r="36">
          <cell r="B36" t="str">
            <v>0109502</v>
          </cell>
          <cell r="C36" t="str">
            <v xml:space="preserve">НЕЦУРЬЮ №12 </v>
          </cell>
          <cell r="D36">
            <v>39</v>
          </cell>
        </row>
        <row r="37">
          <cell r="B37" t="str">
            <v>0103525</v>
          </cell>
          <cell r="C37" t="str">
            <v>Цистон №60</v>
          </cell>
          <cell r="D37">
            <v>40</v>
          </cell>
        </row>
        <row r="38">
          <cell r="B38" t="str">
            <v>0100782</v>
          </cell>
          <cell r="C38" t="str">
            <v>Анифлу №5</v>
          </cell>
          <cell r="D38">
            <v>41</v>
          </cell>
        </row>
        <row r="39">
          <cell r="B39" t="str">
            <v>0101942</v>
          </cell>
          <cell r="C39" t="str">
            <v>Ибупрофен 400мг №10/protech/</v>
          </cell>
          <cell r="D39">
            <v>42</v>
          </cell>
        </row>
        <row r="40">
          <cell r="B40" t="str">
            <v>0111075</v>
          </cell>
          <cell r="C40" t="str">
            <v xml:space="preserve"> Нефрос №60</v>
          </cell>
          <cell r="D40">
            <v>44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"/>
  <sheetViews>
    <sheetView tabSelected="1" topLeftCell="J1" workbookViewId="0">
      <selection activeCell="Y3" sqref="Y3"/>
    </sheetView>
  </sheetViews>
  <sheetFormatPr defaultRowHeight="14.25" outlineLevelRow="3" x14ac:dyDescent="0.45"/>
  <cols>
    <col min="1" max="1" width="4.6640625" customWidth="1"/>
    <col min="2" max="2" width="10.6640625" style="7" customWidth="1"/>
    <col min="3" max="3" width="40.6640625" style="4" customWidth="1"/>
    <col min="4" max="4" width="12.6640625" style="4" customWidth="1"/>
    <col min="5" max="16" width="12.6640625" customWidth="1"/>
    <col min="17" max="19" width="8.86328125" customWidth="1"/>
    <col min="20" max="20" width="11.6640625" bestFit="1" customWidth="1"/>
    <col min="21" max="25" width="8.86328125" customWidth="1"/>
  </cols>
  <sheetData>
    <row r="1" spans="1:25" x14ac:dyDescent="0.45">
      <c r="A1" s="8" t="s">
        <v>0</v>
      </c>
      <c r="B1" s="8" t="s">
        <v>1</v>
      </c>
      <c r="C1" s="9" t="s">
        <v>2</v>
      </c>
      <c r="D1" s="9" t="s">
        <v>3</v>
      </c>
      <c r="E1" s="8" t="s">
        <v>4</v>
      </c>
      <c r="F1" s="8" t="s">
        <v>5</v>
      </c>
      <c r="G1" s="8"/>
      <c r="H1" s="8"/>
      <c r="I1" s="8"/>
      <c r="J1" s="8"/>
      <c r="K1" s="8"/>
      <c r="L1" s="8"/>
      <c r="M1" s="8" t="s">
        <v>6</v>
      </c>
      <c r="N1" s="8"/>
      <c r="O1" s="8"/>
      <c r="P1" s="8"/>
      <c r="Q1" s="8"/>
      <c r="R1" s="8"/>
      <c r="S1" s="8" t="s">
        <v>7</v>
      </c>
      <c r="T1" s="8"/>
      <c r="U1" s="8" t="s">
        <v>8</v>
      </c>
      <c r="V1" s="8" t="s">
        <v>9</v>
      </c>
      <c r="W1" s="8" t="s">
        <v>10</v>
      </c>
      <c r="X1" s="8" t="s">
        <v>11</v>
      </c>
    </row>
    <row r="2" spans="1:25" ht="23.25" x14ac:dyDescent="0.45">
      <c r="A2" s="8"/>
      <c r="B2" s="8"/>
      <c r="C2" s="9"/>
      <c r="D2" s="9"/>
      <c r="E2" s="8"/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12</v>
      </c>
      <c r="T2" s="1" t="s">
        <v>13</v>
      </c>
      <c r="U2" s="8"/>
      <c r="V2" s="8"/>
      <c r="W2" s="8"/>
      <c r="X2" s="8"/>
    </row>
    <row r="3" spans="1:25" outlineLevel="3" x14ac:dyDescent="0.45">
      <c r="A3" s="2" t="s">
        <v>25</v>
      </c>
      <c r="B3" s="6" t="s">
        <v>26</v>
      </c>
      <c r="C3" s="5" t="s">
        <v>27</v>
      </c>
      <c r="D3" s="5" t="s">
        <v>22</v>
      </c>
      <c r="E3" s="3">
        <f>G3/F3</f>
        <v>41737.919506637292</v>
      </c>
      <c r="F3" s="3">
        <v>179.53530000000001</v>
      </c>
      <c r="G3" s="3">
        <v>7493429.899999979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179.53530000000029</v>
      </c>
      <c r="T3" s="3">
        <v>7493429.899999979</v>
      </c>
      <c r="U3" s="3">
        <v>0</v>
      </c>
      <c r="V3" s="3">
        <v>0</v>
      </c>
      <c r="W3" s="3">
        <v>0</v>
      </c>
      <c r="X3" s="3">
        <v>0</v>
      </c>
      <c r="Y3">
        <f>VLOOKUP(B3,[1]Sheet2!$B$2:$D$40,3,FALSE)</f>
        <v>3</v>
      </c>
    </row>
    <row r="4" spans="1:25" outlineLevel="3" x14ac:dyDescent="0.45">
      <c r="A4" s="2" t="s">
        <v>28</v>
      </c>
      <c r="B4" s="6" t="s">
        <v>29</v>
      </c>
      <c r="C4" s="5" t="s">
        <v>30</v>
      </c>
      <c r="D4" s="5" t="s">
        <v>31</v>
      </c>
      <c r="E4" s="3">
        <f t="shared" ref="E4:E26" si="0">G4/F4</f>
        <v>157533.15555081461</v>
      </c>
      <c r="F4" s="3">
        <v>14.999599999999999</v>
      </c>
      <c r="G4" s="3">
        <v>2362934.3199999989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14.999599999999999</v>
      </c>
      <c r="T4" s="3">
        <v>2362934.3199999989</v>
      </c>
      <c r="U4" s="3">
        <v>0</v>
      </c>
      <c r="V4" s="3">
        <v>0</v>
      </c>
      <c r="W4" s="3">
        <v>0</v>
      </c>
      <c r="X4" s="3">
        <v>0</v>
      </c>
      <c r="Y4">
        <f>VLOOKUP(B4,[1]Sheet2!$B$2:$D$40,3,FALSE)</f>
        <v>33</v>
      </c>
    </row>
    <row r="5" spans="1:25" ht="13.25" customHeight="1" outlineLevel="3" x14ac:dyDescent="0.45">
      <c r="A5" s="2" t="s">
        <v>32</v>
      </c>
      <c r="B5" s="6" t="s">
        <v>33</v>
      </c>
      <c r="C5" s="5" t="s">
        <v>34</v>
      </c>
      <c r="D5" s="5" t="s">
        <v>20</v>
      </c>
      <c r="E5" s="3">
        <f t="shared" si="0"/>
        <v>43698.275030454497</v>
      </c>
      <c r="F5" s="3">
        <v>44.5747</v>
      </c>
      <c r="G5" s="3">
        <v>1947837.5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44.5747</v>
      </c>
      <c r="T5" s="3">
        <v>1947837.5</v>
      </c>
      <c r="U5" s="3">
        <v>0</v>
      </c>
      <c r="V5" s="3">
        <v>0</v>
      </c>
      <c r="W5" s="3">
        <v>0</v>
      </c>
      <c r="X5" s="3">
        <v>0</v>
      </c>
      <c r="Y5">
        <f>VLOOKUP(B5,[1]Sheet2!$B$2:$D$40,3,FALSE)</f>
        <v>22</v>
      </c>
    </row>
    <row r="6" spans="1:25" ht="13.25" customHeight="1" outlineLevel="3" x14ac:dyDescent="0.45">
      <c r="A6" s="2" t="s">
        <v>35</v>
      </c>
      <c r="B6" s="6" t="s">
        <v>36</v>
      </c>
      <c r="C6" s="5" t="s">
        <v>37</v>
      </c>
      <c r="D6" s="5" t="s">
        <v>22</v>
      </c>
      <c r="E6" s="3">
        <f t="shared" si="0"/>
        <v>30122.448979591834</v>
      </c>
      <c r="F6" s="3">
        <v>27.44</v>
      </c>
      <c r="G6" s="3">
        <v>826560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27.44</v>
      </c>
      <c r="T6" s="3">
        <v>826560</v>
      </c>
      <c r="U6" s="3">
        <v>0</v>
      </c>
      <c r="V6" s="3">
        <v>0</v>
      </c>
      <c r="W6" s="3">
        <v>0</v>
      </c>
      <c r="X6" s="3">
        <v>0</v>
      </c>
      <c r="Y6">
        <f>VLOOKUP(B6,[1]Sheet2!$B$2:$D$40,3,FALSE)</f>
        <v>12</v>
      </c>
    </row>
    <row r="7" spans="1:25" ht="13.25" customHeight="1" outlineLevel="3" x14ac:dyDescent="0.45">
      <c r="A7" s="2" t="s">
        <v>38</v>
      </c>
      <c r="B7" s="6" t="s">
        <v>39</v>
      </c>
      <c r="C7" s="5" t="s">
        <v>40</v>
      </c>
      <c r="D7" s="5" t="s">
        <v>41</v>
      </c>
      <c r="E7" s="3">
        <f t="shared" si="0"/>
        <v>25901.149425287356</v>
      </c>
      <c r="F7" s="3">
        <v>43.5</v>
      </c>
      <c r="G7" s="3">
        <v>1126700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43.5</v>
      </c>
      <c r="T7" s="3">
        <v>1126700</v>
      </c>
      <c r="U7" s="3">
        <v>0</v>
      </c>
      <c r="V7" s="3">
        <v>0</v>
      </c>
      <c r="W7" s="3">
        <v>0</v>
      </c>
      <c r="X7" s="3">
        <v>0</v>
      </c>
      <c r="Y7">
        <f>VLOOKUP(B7,[1]Sheet2!$B$2:$D$40,3,FALSE)</f>
        <v>15</v>
      </c>
    </row>
    <row r="8" spans="1:25" ht="13.25" customHeight="1" outlineLevel="3" x14ac:dyDescent="0.45">
      <c r="A8" s="2" t="s">
        <v>42</v>
      </c>
      <c r="B8" s="6" t="s">
        <v>43</v>
      </c>
      <c r="C8" s="5" t="s">
        <v>44</v>
      </c>
      <c r="D8" s="5" t="s">
        <v>24</v>
      </c>
      <c r="E8" s="3">
        <f t="shared" si="0"/>
        <v>33745.152981020066</v>
      </c>
      <c r="F8" s="3">
        <v>145.03760000000011</v>
      </c>
      <c r="G8" s="3">
        <v>4894316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145.03760000000011</v>
      </c>
      <c r="T8" s="3">
        <v>4894316</v>
      </c>
      <c r="U8" s="3">
        <v>0</v>
      </c>
      <c r="V8" s="3">
        <v>0</v>
      </c>
      <c r="W8" s="3">
        <v>0</v>
      </c>
      <c r="X8" s="3">
        <v>391</v>
      </c>
      <c r="Y8">
        <f>VLOOKUP(B8,[1]Sheet2!$B$2:$D$40,3,FALSE)</f>
        <v>4</v>
      </c>
    </row>
    <row r="9" spans="1:25" ht="13.25" customHeight="1" outlineLevel="3" x14ac:dyDescent="0.45">
      <c r="A9" s="2" t="s">
        <v>48</v>
      </c>
      <c r="B9" s="6" t="s">
        <v>49</v>
      </c>
      <c r="C9" s="5" t="s">
        <v>50</v>
      </c>
      <c r="D9" s="5" t="s">
        <v>22</v>
      </c>
      <c r="E9" s="3">
        <f t="shared" si="0"/>
        <v>10707.859914534112</v>
      </c>
      <c r="F9" s="3">
        <v>8.1435999999999993</v>
      </c>
      <c r="G9" s="3">
        <v>87200.527999999991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8.1435999999999993</v>
      </c>
      <c r="T9" s="3">
        <v>87200.527999999991</v>
      </c>
      <c r="U9" s="3">
        <v>0</v>
      </c>
      <c r="V9" s="3">
        <v>0</v>
      </c>
      <c r="W9" s="3">
        <v>0</v>
      </c>
      <c r="X9" s="3">
        <v>0</v>
      </c>
      <c r="Y9">
        <f>VLOOKUP(B9,[1]Sheet2!$B$2:$D$40,3,FALSE)</f>
        <v>34</v>
      </c>
    </row>
    <row r="10" spans="1:25" ht="13.25" customHeight="1" outlineLevel="3" x14ac:dyDescent="0.45">
      <c r="A10" s="2" t="s">
        <v>51</v>
      </c>
      <c r="B10" s="6" t="s">
        <v>52</v>
      </c>
      <c r="C10" s="5" t="s">
        <v>53</v>
      </c>
      <c r="D10" s="5" t="s">
        <v>45</v>
      </c>
      <c r="E10" s="3">
        <f t="shared" si="0"/>
        <v>10666.666666666666</v>
      </c>
      <c r="F10" s="3">
        <v>0.9375</v>
      </c>
      <c r="G10" s="3">
        <v>10000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0.9375</v>
      </c>
      <c r="T10" s="3">
        <v>10000</v>
      </c>
      <c r="U10" s="3">
        <v>0</v>
      </c>
      <c r="V10" s="3">
        <v>0</v>
      </c>
      <c r="W10" s="3">
        <v>0</v>
      </c>
      <c r="X10" s="3">
        <v>0</v>
      </c>
      <c r="Y10">
        <f>VLOOKUP(B10,[1]Sheet2!$B$2:$D$40,3,FALSE)</f>
        <v>14</v>
      </c>
    </row>
    <row r="11" spans="1:25" ht="13.25" customHeight="1" outlineLevel="3" x14ac:dyDescent="0.45">
      <c r="A11" s="2" t="s">
        <v>54</v>
      </c>
      <c r="B11" s="6" t="s">
        <v>55</v>
      </c>
      <c r="C11" s="5" t="s">
        <v>56</v>
      </c>
      <c r="D11" s="5" t="s">
        <v>21</v>
      </c>
      <c r="E11" s="3">
        <f t="shared" si="0"/>
        <v>49222.167529938808</v>
      </c>
      <c r="F11" s="3">
        <v>81.608100000000007</v>
      </c>
      <c r="G11" s="3">
        <v>4016927.57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81.608100000000007</v>
      </c>
      <c r="T11" s="3">
        <v>4016927.57</v>
      </c>
      <c r="U11" s="3">
        <v>0</v>
      </c>
      <c r="V11" s="3">
        <v>0</v>
      </c>
      <c r="W11" s="3">
        <v>0</v>
      </c>
      <c r="X11" s="3">
        <v>0</v>
      </c>
      <c r="Y11">
        <f>VLOOKUP(B11,[1]Sheet2!$B$2:$D$40,3,FALSE)</f>
        <v>5</v>
      </c>
    </row>
    <row r="12" spans="1:25" ht="13.25" customHeight="1" outlineLevel="3" x14ac:dyDescent="0.45">
      <c r="A12" s="2" t="s">
        <v>59</v>
      </c>
      <c r="B12" s="6" t="s">
        <v>60</v>
      </c>
      <c r="C12" s="5" t="s">
        <v>61</v>
      </c>
      <c r="D12" s="5" t="s">
        <v>58</v>
      </c>
      <c r="E12" s="3">
        <f t="shared" si="0"/>
        <v>164626.2727194477</v>
      </c>
      <c r="F12" s="3">
        <v>59.249899999999933</v>
      </c>
      <c r="G12" s="3">
        <v>9754090.195999993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59.249899999999933</v>
      </c>
      <c r="T12" s="3">
        <v>9754090.195999993</v>
      </c>
      <c r="U12" s="3">
        <v>0</v>
      </c>
      <c r="V12" s="3">
        <v>0</v>
      </c>
      <c r="W12" s="3">
        <v>0</v>
      </c>
      <c r="X12" s="3">
        <v>0</v>
      </c>
      <c r="Y12">
        <f>VLOOKUP(B12,[1]Sheet2!$B$2:$D$40,3,FALSE)</f>
        <v>1</v>
      </c>
    </row>
    <row r="13" spans="1:25" ht="13.25" customHeight="1" outlineLevel="3" x14ac:dyDescent="0.45">
      <c r="A13" s="2" t="s">
        <v>62</v>
      </c>
      <c r="B13" s="6" t="s">
        <v>63</v>
      </c>
      <c r="C13" s="5" t="s">
        <v>64</v>
      </c>
      <c r="D13" s="5" t="s">
        <v>23</v>
      </c>
      <c r="E13" s="3">
        <f t="shared" si="0"/>
        <v>44795.956683525816</v>
      </c>
      <c r="F13" s="3">
        <v>125.6888999999998</v>
      </c>
      <c r="G13" s="3">
        <v>5630354.5199999996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125.6888999999998</v>
      </c>
      <c r="T13" s="3">
        <v>5630354.5199999996</v>
      </c>
      <c r="U13" s="3">
        <v>0</v>
      </c>
      <c r="V13" s="3">
        <v>0</v>
      </c>
      <c r="W13" s="3">
        <v>0</v>
      </c>
      <c r="X13" s="3">
        <v>0</v>
      </c>
      <c r="Y13">
        <f>VLOOKUP(B13,[1]Sheet2!$B$2:$D$40,3,FALSE)</f>
        <v>2</v>
      </c>
    </row>
    <row r="14" spans="1:25" ht="13.25" customHeight="1" outlineLevel="3" x14ac:dyDescent="0.45">
      <c r="A14" s="2" t="s">
        <v>65</v>
      </c>
      <c r="B14" s="6" t="s">
        <v>66</v>
      </c>
      <c r="C14" s="5" t="s">
        <v>67</v>
      </c>
      <c r="D14" s="5" t="s">
        <v>68</v>
      </c>
      <c r="E14" s="3">
        <f t="shared" si="0"/>
        <v>30000</v>
      </c>
      <c r="F14" s="3">
        <v>1</v>
      </c>
      <c r="G14" s="3">
        <v>30000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1</v>
      </c>
      <c r="T14" s="3">
        <v>30000</v>
      </c>
      <c r="U14" s="3">
        <v>0</v>
      </c>
      <c r="V14" s="3">
        <v>0</v>
      </c>
      <c r="W14" s="3">
        <v>0</v>
      </c>
      <c r="X14" s="3">
        <v>0</v>
      </c>
      <c r="Y14">
        <f>VLOOKUP(B14,[1]Sheet2!$B$2:$D$40,3,FALSE)</f>
        <v>11</v>
      </c>
    </row>
    <row r="15" spans="1:25" ht="13.25" customHeight="1" outlineLevel="3" x14ac:dyDescent="0.45">
      <c r="A15" s="2" t="s">
        <v>69</v>
      </c>
      <c r="B15" s="6" t="s">
        <v>70</v>
      </c>
      <c r="C15" s="5" t="s">
        <v>71</v>
      </c>
      <c r="D15" s="5" t="s">
        <v>19</v>
      </c>
      <c r="E15" s="3">
        <f t="shared" si="0"/>
        <v>56250</v>
      </c>
      <c r="F15" s="3">
        <v>8</v>
      </c>
      <c r="G15" s="3">
        <v>450000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8</v>
      </c>
      <c r="T15" s="3">
        <v>450000</v>
      </c>
      <c r="U15" s="3">
        <v>0</v>
      </c>
      <c r="V15" s="3">
        <v>0</v>
      </c>
      <c r="W15" s="3">
        <v>0</v>
      </c>
      <c r="X15" s="3">
        <v>0</v>
      </c>
      <c r="Y15">
        <f>VLOOKUP(B15,[1]Sheet2!$B$2:$D$40,3,FALSE)</f>
        <v>30</v>
      </c>
    </row>
    <row r="16" spans="1:25" ht="13.25" customHeight="1" outlineLevel="3" x14ac:dyDescent="0.45">
      <c r="A16" s="2" t="s">
        <v>72</v>
      </c>
      <c r="B16" s="6" t="s">
        <v>73</v>
      </c>
      <c r="C16" s="5" t="s">
        <v>74</v>
      </c>
      <c r="D16" s="5" t="s">
        <v>19</v>
      </c>
      <c r="E16" s="3">
        <f t="shared" si="0"/>
        <v>53663.403441682582</v>
      </c>
      <c r="F16" s="3">
        <v>52.300000000000018</v>
      </c>
      <c r="G16" s="3">
        <v>2806596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52.300000000000018</v>
      </c>
      <c r="T16" s="3">
        <v>2806596</v>
      </c>
      <c r="U16" s="3">
        <v>0</v>
      </c>
      <c r="V16" s="3">
        <v>0</v>
      </c>
      <c r="W16" s="3">
        <v>637</v>
      </c>
      <c r="X16" s="3">
        <v>7968</v>
      </c>
      <c r="Y16">
        <f>VLOOKUP(B16,[1]Sheet2!$B$2:$D$40,3,FALSE)</f>
        <v>16</v>
      </c>
    </row>
    <row r="17" spans="1:25" ht="13.25" customHeight="1" outlineLevel="3" x14ac:dyDescent="0.45">
      <c r="A17" s="2" t="s">
        <v>75</v>
      </c>
      <c r="B17" s="6" t="s">
        <v>76</v>
      </c>
      <c r="C17" s="5" t="s">
        <v>77</v>
      </c>
      <c r="D17" s="5" t="s">
        <v>78</v>
      </c>
      <c r="E17" s="3">
        <f t="shared" si="0"/>
        <v>38340.172786177056</v>
      </c>
      <c r="F17" s="3">
        <v>46.300000000000061</v>
      </c>
      <c r="G17" s="3">
        <v>1775150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46.300000000000061</v>
      </c>
      <c r="T17" s="3">
        <v>1775150</v>
      </c>
      <c r="U17" s="3">
        <v>0</v>
      </c>
      <c r="V17" s="3">
        <v>0</v>
      </c>
      <c r="W17" s="3">
        <v>0</v>
      </c>
      <c r="X17" s="3">
        <v>3866</v>
      </c>
      <c r="Y17">
        <f>VLOOKUP(B17,[1]Sheet2!$B$2:$D$40,3,FALSE)</f>
        <v>7</v>
      </c>
    </row>
    <row r="18" spans="1:25" ht="13.25" customHeight="1" outlineLevel="3" x14ac:dyDescent="0.45">
      <c r="A18" s="2" t="s">
        <v>80</v>
      </c>
      <c r="B18" s="6" t="s">
        <v>81</v>
      </c>
      <c r="C18" s="5" t="s">
        <v>82</v>
      </c>
      <c r="D18" s="5" t="s">
        <v>83</v>
      </c>
      <c r="E18" s="3">
        <f t="shared" si="0"/>
        <v>178476.16553169189</v>
      </c>
      <c r="F18" s="3">
        <v>38.180000000000021</v>
      </c>
      <c r="G18" s="3">
        <v>6814220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38.180000000000021</v>
      </c>
      <c r="T18" s="3">
        <v>6814220</v>
      </c>
      <c r="U18" s="3">
        <v>0</v>
      </c>
      <c r="V18" s="3">
        <v>0</v>
      </c>
      <c r="W18" s="3">
        <v>0</v>
      </c>
      <c r="X18" s="3">
        <v>0</v>
      </c>
      <c r="Y18">
        <f>VLOOKUP(B18,[1]Sheet2!$B$2:$D$40,3,FALSE)</f>
        <v>6</v>
      </c>
    </row>
    <row r="19" spans="1:25" ht="13.25" customHeight="1" outlineLevel="3" x14ac:dyDescent="0.45">
      <c r="A19" s="2" t="s">
        <v>85</v>
      </c>
      <c r="B19" s="6" t="s">
        <v>86</v>
      </c>
      <c r="C19" s="5" t="s">
        <v>87</v>
      </c>
      <c r="D19" s="5" t="s">
        <v>47</v>
      </c>
      <c r="E19" s="3">
        <f t="shared" si="0"/>
        <v>17142.857142857141</v>
      </c>
      <c r="F19" s="3">
        <v>3.5</v>
      </c>
      <c r="G19" s="3">
        <v>60000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3.5</v>
      </c>
      <c r="T19" s="3">
        <v>60000</v>
      </c>
      <c r="U19" s="3">
        <v>0</v>
      </c>
      <c r="V19" s="3">
        <v>0</v>
      </c>
      <c r="W19" s="3">
        <v>0</v>
      </c>
      <c r="X19" s="3">
        <v>0</v>
      </c>
      <c r="Y19">
        <f>VLOOKUP(B19,[1]Sheet2!$B$2:$D$40,3,FALSE)</f>
        <v>37</v>
      </c>
    </row>
    <row r="20" spans="1:25" ht="13.25" customHeight="1" outlineLevel="3" x14ac:dyDescent="0.45">
      <c r="A20" s="2" t="s">
        <v>88</v>
      </c>
      <c r="B20" s="6" t="s">
        <v>89</v>
      </c>
      <c r="C20" s="5" t="s">
        <v>90</v>
      </c>
      <c r="D20" s="5" t="s">
        <v>57</v>
      </c>
      <c r="E20" s="3">
        <f t="shared" si="0"/>
        <v>19992.307692307684</v>
      </c>
      <c r="F20" s="3">
        <v>2.600000000000001</v>
      </c>
      <c r="G20" s="3">
        <v>51980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2.600000000000001</v>
      </c>
      <c r="T20" s="3">
        <v>51980</v>
      </c>
      <c r="U20" s="3">
        <v>0</v>
      </c>
      <c r="V20" s="3">
        <v>0</v>
      </c>
      <c r="W20" s="3">
        <v>0</v>
      </c>
      <c r="X20" s="3">
        <v>0</v>
      </c>
      <c r="Y20">
        <f>VLOOKUP(B20,[1]Sheet2!$B$2:$D$40,3,FALSE)</f>
        <v>18</v>
      </c>
    </row>
    <row r="21" spans="1:25" ht="13.25" customHeight="1" outlineLevel="3" x14ac:dyDescent="0.45">
      <c r="A21" s="2" t="s">
        <v>91</v>
      </c>
      <c r="B21" s="6" t="s">
        <v>92</v>
      </c>
      <c r="C21" s="5" t="s">
        <v>93</v>
      </c>
      <c r="D21" s="5" t="s">
        <v>20</v>
      </c>
      <c r="E21" s="3">
        <f t="shared" si="0"/>
        <v>57497.373029772127</v>
      </c>
      <c r="F21" s="3">
        <v>28.5500000000001</v>
      </c>
      <c r="G21" s="3">
        <v>1641550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28.5500000000001</v>
      </c>
      <c r="T21" s="3">
        <v>1641550</v>
      </c>
      <c r="U21" s="3">
        <v>0</v>
      </c>
      <c r="V21" s="3">
        <v>0</v>
      </c>
      <c r="W21" s="3">
        <v>0</v>
      </c>
      <c r="X21" s="3">
        <v>4708</v>
      </c>
      <c r="Y21">
        <f>VLOOKUP(B21,[1]Sheet2!$B$2:$D$40,3,FALSE)</f>
        <v>8</v>
      </c>
    </row>
    <row r="22" spans="1:25" ht="13.25" customHeight="1" outlineLevel="3" x14ac:dyDescent="0.45">
      <c r="A22" s="2" t="s">
        <v>94</v>
      </c>
      <c r="B22" s="6" t="s">
        <v>95</v>
      </c>
      <c r="C22" s="5" t="s">
        <v>96</v>
      </c>
      <c r="D22" s="5" t="s">
        <v>84</v>
      </c>
      <c r="E22" s="3">
        <f t="shared" si="0"/>
        <v>45604.442581726711</v>
      </c>
      <c r="F22" s="3">
        <v>47.720000000000027</v>
      </c>
      <c r="G22" s="3">
        <v>2176244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47.720000000000027</v>
      </c>
      <c r="T22" s="3">
        <v>2176244</v>
      </c>
      <c r="U22" s="3">
        <v>0</v>
      </c>
      <c r="V22" s="3">
        <v>0</v>
      </c>
      <c r="W22" s="3">
        <v>0</v>
      </c>
      <c r="X22" s="3">
        <v>0</v>
      </c>
      <c r="Y22">
        <f>VLOOKUP(B22,[1]Sheet2!$B$2:$D$40,3,FALSE)</f>
        <v>10</v>
      </c>
    </row>
    <row r="23" spans="1:25" ht="13.25" customHeight="1" outlineLevel="3" x14ac:dyDescent="0.45">
      <c r="A23" s="2" t="s">
        <v>97</v>
      </c>
      <c r="B23" s="6" t="s">
        <v>98</v>
      </c>
      <c r="C23" s="5" t="s">
        <v>99</v>
      </c>
      <c r="D23" s="5" t="s">
        <v>79</v>
      </c>
      <c r="E23" s="3">
        <f t="shared" si="0"/>
        <v>17388.888888888891</v>
      </c>
      <c r="F23" s="3">
        <v>90</v>
      </c>
      <c r="G23" s="3">
        <v>1565000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90</v>
      </c>
      <c r="T23" s="3">
        <v>1565000</v>
      </c>
      <c r="U23" s="3">
        <v>0</v>
      </c>
      <c r="V23" s="3">
        <v>0</v>
      </c>
      <c r="W23" s="3">
        <v>0</v>
      </c>
      <c r="X23" s="3">
        <v>0</v>
      </c>
      <c r="Y23">
        <f>VLOOKUP(B23,[1]Sheet2!$B$2:$D$40,3,FALSE)</f>
        <v>40</v>
      </c>
    </row>
    <row r="24" spans="1:25" ht="13.25" customHeight="1" outlineLevel="3" x14ac:dyDescent="0.45">
      <c r="A24" s="2" t="s">
        <v>100</v>
      </c>
      <c r="B24" s="6" t="s">
        <v>101</v>
      </c>
      <c r="C24" s="5" t="s">
        <v>102</v>
      </c>
      <c r="D24" s="5" t="s">
        <v>103</v>
      </c>
      <c r="E24" s="3">
        <f t="shared" si="0"/>
        <v>30954.78464236989</v>
      </c>
      <c r="F24" s="3">
        <v>32.838400000000021</v>
      </c>
      <c r="G24" s="3">
        <v>1016505.6000000001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32.838400000000021</v>
      </c>
      <c r="T24" s="3">
        <v>1016505.6000000001</v>
      </c>
      <c r="U24" s="3">
        <v>0</v>
      </c>
      <c r="V24" s="3">
        <v>0</v>
      </c>
      <c r="W24" s="3">
        <v>0</v>
      </c>
      <c r="X24" s="3">
        <v>456</v>
      </c>
      <c r="Y24">
        <f>VLOOKUP(B24,[1]Sheet2!$B$2:$D$40,3,FALSE)</f>
        <v>27</v>
      </c>
    </row>
    <row r="25" spans="1:25" ht="13.25" customHeight="1" outlineLevel="3" x14ac:dyDescent="0.45">
      <c r="A25" s="2" t="s">
        <v>104</v>
      </c>
      <c r="B25" s="6" t="s">
        <v>105</v>
      </c>
      <c r="C25" s="5" t="s">
        <v>106</v>
      </c>
      <c r="D25" s="5" t="s">
        <v>107</v>
      </c>
      <c r="E25" s="3">
        <f t="shared" si="0"/>
        <v>22222.222222222223</v>
      </c>
      <c r="F25" s="3">
        <v>2.25</v>
      </c>
      <c r="G25" s="3">
        <v>50000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2.25</v>
      </c>
      <c r="T25" s="3">
        <v>50000</v>
      </c>
      <c r="U25" s="3">
        <v>0</v>
      </c>
      <c r="V25" s="3">
        <v>0</v>
      </c>
      <c r="W25" s="3">
        <v>0</v>
      </c>
      <c r="X25" s="3">
        <v>0</v>
      </c>
      <c r="Y25">
        <f>VLOOKUP(B25,[1]Sheet2!$B$2:$D$40,3,FALSE)</f>
        <v>39</v>
      </c>
    </row>
    <row r="26" spans="1:25" ht="13.25" customHeight="1" outlineLevel="3" x14ac:dyDescent="0.45">
      <c r="A26" s="2" t="s">
        <v>108</v>
      </c>
      <c r="B26" s="6" t="s">
        <v>109</v>
      </c>
      <c r="C26" s="5" t="s">
        <v>110</v>
      </c>
      <c r="D26" s="5" t="s">
        <v>46</v>
      </c>
      <c r="E26" s="3">
        <f t="shared" si="0"/>
        <v>49652.873563218396</v>
      </c>
      <c r="F26" s="3">
        <v>17.399999999999999</v>
      </c>
      <c r="G26" s="3">
        <v>863960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17.399999999999999</v>
      </c>
      <c r="T26" s="3">
        <v>863960</v>
      </c>
      <c r="U26" s="3">
        <v>0</v>
      </c>
      <c r="V26" s="3">
        <v>0</v>
      </c>
      <c r="W26" s="3">
        <v>0</v>
      </c>
      <c r="X26" s="3">
        <v>0</v>
      </c>
      <c r="Y26">
        <f>VLOOKUP(B26,[1]Sheet2!$B$2:$D$40,3,FALSE)</f>
        <v>9</v>
      </c>
    </row>
    <row r="27" spans="1:25" ht="13.25" customHeight="1" outlineLevel="3" x14ac:dyDescent="0.45">
      <c r="A27" s="2" t="s">
        <v>112</v>
      </c>
      <c r="B27" s="6" t="s">
        <v>113</v>
      </c>
      <c r="C27" s="5" t="s">
        <v>114</v>
      </c>
      <c r="D27" s="5" t="s">
        <v>111</v>
      </c>
      <c r="E27" s="3">
        <f>G27/F27</f>
        <v>7142.8571428571431</v>
      </c>
      <c r="F27" s="3">
        <v>2.8</v>
      </c>
      <c r="G27" s="3">
        <v>20000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2.8</v>
      </c>
      <c r="T27" s="3">
        <v>20000</v>
      </c>
      <c r="U27" s="3">
        <v>0</v>
      </c>
      <c r="V27" s="3">
        <v>0</v>
      </c>
      <c r="W27" s="3">
        <v>0</v>
      </c>
      <c r="X27" s="3">
        <v>0</v>
      </c>
      <c r="Y27">
        <f>VLOOKUP(B27,[1]Sheet2!$B$2:$D$40,3,FALSE)</f>
        <v>19</v>
      </c>
    </row>
  </sheetData>
  <mergeCells count="12">
    <mergeCell ref="A1:A2"/>
    <mergeCell ref="B1:B2"/>
    <mergeCell ref="C1:C2"/>
    <mergeCell ref="D1:D2"/>
    <mergeCell ref="V1:V2"/>
    <mergeCell ref="W1:W2"/>
    <mergeCell ref="X1:X2"/>
    <mergeCell ref="E1:E2"/>
    <mergeCell ref="F1:L1"/>
    <mergeCell ref="M1:R1"/>
    <mergeCell ref="S1:T1"/>
    <mergeCell ref="U1:U2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 Order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Монос Оффицер</dc:creator>
  <cp:keywords/>
  <dc:description/>
  <cp:lastModifiedBy>SQ1</cp:lastModifiedBy>
  <cp:revision/>
  <dcterms:created xsi:type="dcterms:W3CDTF">2026-08-30T11:45:43Z</dcterms:created>
  <dcterms:modified xsi:type="dcterms:W3CDTF">2026-09-03T13:07:18Z</dcterms:modified>
  <cp:category/>
  <cp:contentStatus/>
</cp:coreProperties>
</file>