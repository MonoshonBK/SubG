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1\Desktop\AI_ACADEMY_BAASKA\дата цэгцлэх\"/>
    </mc:Choice>
  </mc:AlternateContent>
  <xr:revisionPtr revIDLastSave="0" documentId="13_ncr:1_{DC0F21B8-FEA8-45BD-8EFA-29C070C48F7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os Order Report" sheetId="1" r:id="rId1"/>
  </sheets>
  <externalReferences>
    <externalReference r:id="rId2"/>
  </externalReferences>
  <definedNames>
    <definedName name="_xlnm._FilterDatabase" localSheetId="0" hidden="1">'Pos Order Report'!$A$16:$Y$40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6" i="1" l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</calcChain>
</file>

<file path=xl/sharedStrings.xml><?xml version="1.0" encoding="utf-8"?>
<sst xmlns="http://schemas.openxmlformats.org/spreadsheetml/2006/main" count="144" uniqueCount="132">
  <si>
    <t>Посын дэлгэрэнгүй тайлан</t>
  </si>
  <si>
    <t>Байгууллагын нэр: Монос Улаанбаатар ХХК</t>
  </si>
  <si>
    <t>Агуулахууд: Монос - Офицер ФМ</t>
  </si>
  <si>
    <t>Нийлүүлэгч: Бүх нийлүүлэгч</t>
  </si>
  <si>
    <t>Борлуулагч: Бүх борлуулагч</t>
  </si>
  <si>
    <t>Барааны ангилал: Бүх ангилал</t>
  </si>
  <si>
    <t>Барааны Пос ангилал: ATC, OTC</t>
  </si>
  <si>
    <t>Бараа: Бүх бараа</t>
  </si>
  <si>
    <t>Үйлдвэрлэгч: Бүх үйлдвэрлэгч</t>
  </si>
  <si>
    <t>Кассчин: Кассчин</t>
  </si>
  <si>
    <t>Огноо: 2026-08-30</t>
  </si>
  <si>
    <t>Тайлант хугацаа: 2026-04-01 - 2026-06-30</t>
  </si>
  <si>
    <t xml:space="preserve">Бүлэглэлт: Пос ангилал </t>
  </si>
  <si>
    <t xml:space="preserve">Дэд Бүлэглэлт:  </t>
  </si>
  <si>
    <t>Д/д</t>
  </si>
  <si>
    <t>Дотоод код</t>
  </si>
  <si>
    <t>Нэр</t>
  </si>
  <si>
    <t>Үйлдвэрлэгч</t>
  </si>
  <si>
    <t>Худалдах үнэ</t>
  </si>
  <si>
    <t>Борлуулалт</t>
  </si>
  <si>
    <t>Тоо</t>
  </si>
  <si>
    <t>Нийт дүн</t>
  </si>
  <si>
    <t>Хөнгөлөлт тоо ширхэг</t>
  </si>
  <si>
    <t>Хөнгөлөлт</t>
  </si>
  <si>
    <t>Урамшуулал тоо</t>
  </si>
  <si>
    <t>Урамшуулал</t>
  </si>
  <si>
    <t>Купон</t>
  </si>
  <si>
    <t>Буцаалт</t>
  </si>
  <si>
    <t>Цэвэр дүн</t>
  </si>
  <si>
    <t>Юпойнт цуглуулалт</t>
  </si>
  <si>
    <t>Юпойнт зарцуулалт</t>
  </si>
  <si>
    <t>Монос цуглуулалт</t>
  </si>
  <si>
    <t>Монос зарцуулалт</t>
  </si>
  <si>
    <t>Монос Фарм ХХК</t>
  </si>
  <si>
    <t>Denk Pharma GmbH &amp; Co.KG</t>
  </si>
  <si>
    <t>PT. Dankos Farma</t>
  </si>
  <si>
    <t>KRKA, tovarna zdravil, d.d</t>
  </si>
  <si>
    <t>Novartis Pharma Services Inc</t>
  </si>
  <si>
    <t>LEK Pharmaceuticals d.d</t>
  </si>
  <si>
    <t>1.95</t>
  </si>
  <si>
    <t>0102126</t>
  </si>
  <si>
    <t>Зилт 75мг №28</t>
  </si>
  <si>
    <t>1.99</t>
  </si>
  <si>
    <t>0102745</t>
  </si>
  <si>
    <t>Плавикс 75мг №28</t>
  </si>
  <si>
    <t>Sanofi-Aventis Private</t>
  </si>
  <si>
    <t>1.100</t>
  </si>
  <si>
    <t>0102778</t>
  </si>
  <si>
    <t>Клопи-Денк 75мг №30</t>
  </si>
  <si>
    <t>1.176</t>
  </si>
  <si>
    <t>0105173</t>
  </si>
  <si>
    <t>Вамлосет 10мг/160мг №30</t>
  </si>
  <si>
    <t>1.182</t>
  </si>
  <si>
    <t>0106145</t>
  </si>
  <si>
    <t>Этекс цитиколин 500мг №20</t>
  </si>
  <si>
    <t>Theragen Etex Co.,Ltd</t>
  </si>
  <si>
    <t>1.241</t>
  </si>
  <si>
    <t>0100998</t>
  </si>
  <si>
    <t>Амоксиклав 625мг №15</t>
  </si>
  <si>
    <t>Medochemie Ltd</t>
  </si>
  <si>
    <t>Daewon Pharm. Co.,Ltd.</t>
  </si>
  <si>
    <t>PharmaVision Europe OOD</t>
  </si>
  <si>
    <t>1.285</t>
  </si>
  <si>
    <t>0105772</t>
  </si>
  <si>
    <t>Бетаклав 500мг+125мг №14</t>
  </si>
  <si>
    <t>1.290</t>
  </si>
  <si>
    <t>0106447</t>
  </si>
  <si>
    <t>Моксиклав 625мг №16</t>
  </si>
  <si>
    <t>1.308</t>
  </si>
  <si>
    <t>0102931</t>
  </si>
  <si>
    <t>Брайнакт 500мг №30</t>
  </si>
  <si>
    <t>Mega Lifesciences Pty.Ltd</t>
  </si>
  <si>
    <t>AstraZeneca UK Limited</t>
  </si>
  <si>
    <t>1.448</t>
  </si>
  <si>
    <t>0107433</t>
  </si>
  <si>
    <t>Форсига 10мг №28</t>
  </si>
  <si>
    <t>1.481</t>
  </si>
  <si>
    <t>0110058</t>
  </si>
  <si>
    <t>Эксфорж 10мг/160мг №28</t>
  </si>
  <si>
    <t>1.562</t>
  </si>
  <si>
    <t>0112025</t>
  </si>
  <si>
    <t>Фоцигли №28 шахмал</t>
  </si>
  <si>
    <t>Sinil Pharmaceutical Co.,LTD</t>
  </si>
  <si>
    <t>2.4</t>
  </si>
  <si>
    <t>0100485</t>
  </si>
  <si>
    <t>Нефромон 100мл</t>
  </si>
  <si>
    <t>2.24</t>
  </si>
  <si>
    <t>0102477</t>
  </si>
  <si>
    <t>Урсомон 250мг №50</t>
  </si>
  <si>
    <t>2.50</t>
  </si>
  <si>
    <t>0100587</t>
  </si>
  <si>
    <t>Терафлю №10</t>
  </si>
  <si>
    <t>Haleon Hungary Kft</t>
  </si>
  <si>
    <t>The Himalaya Drug Company</t>
  </si>
  <si>
    <t>2.76</t>
  </si>
  <si>
    <t>0100261</t>
  </si>
  <si>
    <t>Урсофальк 250мг №100</t>
  </si>
  <si>
    <t>Dr Falk Pharma GmbH</t>
  </si>
  <si>
    <t>Bionorica SE</t>
  </si>
  <si>
    <t>2.164</t>
  </si>
  <si>
    <t>0103425</t>
  </si>
  <si>
    <t>Грипоблок жуниор №12</t>
  </si>
  <si>
    <t>2.213</t>
  </si>
  <si>
    <t>0103511</t>
  </si>
  <si>
    <t>Гофен 400мг №50</t>
  </si>
  <si>
    <t>2.305</t>
  </si>
  <si>
    <t>0100582</t>
  </si>
  <si>
    <t>Ибупрофен-Денк 400мг №100</t>
  </si>
  <si>
    <t>2.332</t>
  </si>
  <si>
    <t>0102912</t>
  </si>
  <si>
    <t>Канефрон H №60</t>
  </si>
  <si>
    <t>2.340</t>
  </si>
  <si>
    <t>0103525</t>
  </si>
  <si>
    <t>Цистон №60</t>
  </si>
  <si>
    <t>2.350</t>
  </si>
  <si>
    <t>0107400</t>
  </si>
  <si>
    <t>АнвиМакс нимбэг №12</t>
  </si>
  <si>
    <t>Pharmproject JSC</t>
  </si>
  <si>
    <t>2.381</t>
  </si>
  <si>
    <t>0109502</t>
  </si>
  <si>
    <t>Нэцурью 1.1гр №12 - мөхлөг</t>
  </si>
  <si>
    <t>Shiseido Pharmaceutical Inc</t>
  </si>
  <si>
    <t>2.386</t>
  </si>
  <si>
    <t>0109794</t>
  </si>
  <si>
    <t>Колдвон Nose S сироп №20</t>
  </si>
  <si>
    <t>Dong-A ST Co.,Ltd</t>
  </si>
  <si>
    <t>2.410</t>
  </si>
  <si>
    <t>0110811</t>
  </si>
  <si>
    <t>Панпирин Кю 20мл №5</t>
  </si>
  <si>
    <t>Эд хариуцагч: ....................................../.........................../</t>
  </si>
  <si>
    <t>Хянасан: Ахлах нягтлан бодогч: ......................................./.........................../</t>
  </si>
  <si>
    <t>Шалгасан нягтлан бодогч: ....................................../.........................../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</si>
</sst>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nuzolboo.t/AppData/Local/Microsoft/Windows/INetCache/Content.Outlook/YGIIDI8H/26.8&#1089;&#1072;&#1088;&#1099;&#1085;%20&#1090;&#1072;&#1081;&#1083;&#1072;&#1085;%20&#1058;&#1257;&#1074;&#1080;&#1081;&#1085;%20&#1073;&#1199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шборд"/>
      <sheetName val="НҮС"/>
      <sheetName val="ӨГС-н тэмдэглэл"/>
      <sheetName val="Sheet1"/>
      <sheetName val="ӨГС-н KPI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0107433</v>
          </cell>
          <cell r="C2" t="str">
            <v>Форсига 10мг №28</v>
          </cell>
          <cell r="D2">
            <v>1</v>
          </cell>
        </row>
        <row r="3">
          <cell r="B3" t="str">
            <v>0110058</v>
          </cell>
          <cell r="C3" t="str">
            <v>Эксфорж 10мг/160мг №28</v>
          </cell>
          <cell r="D3">
            <v>2</v>
          </cell>
        </row>
        <row r="4">
          <cell r="B4" t="str">
            <v>0102126</v>
          </cell>
          <cell r="C4" t="str">
            <v>Зилт 75мг №28</v>
          </cell>
          <cell r="D4">
            <v>3</v>
          </cell>
        </row>
        <row r="5">
          <cell r="B5" t="str">
            <v>0100998</v>
          </cell>
          <cell r="C5" t="str">
            <v>Амоксиклав 625мг №15</v>
          </cell>
          <cell r="D5">
            <v>4</v>
          </cell>
        </row>
        <row r="6">
          <cell r="B6" t="str">
            <v>0102931</v>
          </cell>
          <cell r="C6" t="str">
            <v>Брайнакт 500мг №30</v>
          </cell>
          <cell r="D6">
            <v>5</v>
          </cell>
        </row>
        <row r="7">
          <cell r="B7" t="str">
            <v>0100261</v>
          </cell>
          <cell r="C7" t="str">
            <v>Урсофальк 250мг №100</v>
          </cell>
          <cell r="D7">
            <v>6</v>
          </cell>
        </row>
        <row r="8">
          <cell r="B8" t="str">
            <v>0100587</v>
          </cell>
          <cell r="C8" t="str">
            <v>Терафлю №10</v>
          </cell>
          <cell r="D8">
            <v>7</v>
          </cell>
        </row>
        <row r="9">
          <cell r="B9" t="str">
            <v>0100582</v>
          </cell>
          <cell r="C9" t="str">
            <v>Ибупрофен-Денк 400мг №100</v>
          </cell>
          <cell r="D9">
            <v>8</v>
          </cell>
        </row>
        <row r="10">
          <cell r="B10" t="str">
            <v>0109794</v>
          </cell>
          <cell r="C10" t="str">
            <v>Колдвон Nose S сироп №20</v>
          </cell>
          <cell r="D10">
            <v>9</v>
          </cell>
        </row>
        <row r="11">
          <cell r="B11" t="str">
            <v>0102912</v>
          </cell>
          <cell r="C11" t="str">
            <v>Канефрон H №60</v>
          </cell>
          <cell r="D11">
            <v>10</v>
          </cell>
        </row>
        <row r="12">
          <cell r="B12" t="str">
            <v>0112025</v>
          </cell>
          <cell r="C12" t="str">
            <v>Дапаглифлозин – Фоцигли 10мг №28</v>
          </cell>
          <cell r="D12">
            <v>11</v>
          </cell>
        </row>
        <row r="13">
          <cell r="B13" t="str">
            <v>0105173</v>
          </cell>
          <cell r="C13" t="str">
            <v>Вамлосет 10мг/160мг №30 бүрхүүлтэй шахмал KRKA</v>
          </cell>
          <cell r="D13">
            <v>12</v>
          </cell>
        </row>
        <row r="14">
          <cell r="B14" t="str">
            <v>0111906</v>
          </cell>
          <cell r="C14" t="str">
            <v>КлопиКейр (Клопидогрел) 75мг №30 - таблет - DSEABI</v>
          </cell>
          <cell r="D14">
            <v>13</v>
          </cell>
        </row>
        <row r="15">
          <cell r="B15" t="str">
            <v>0106447</v>
          </cell>
          <cell r="C15" t="str">
            <v>Моксиклав 625мг №16</v>
          </cell>
          <cell r="D15">
            <v>14</v>
          </cell>
        </row>
        <row r="16">
          <cell r="B16" t="str">
            <v>0106145</v>
          </cell>
          <cell r="C16" t="str">
            <v>Этекс Цитиколин 500мг №20</v>
          </cell>
          <cell r="D16">
            <v>15</v>
          </cell>
        </row>
        <row r="17">
          <cell r="B17" t="str">
            <v>0102477</v>
          </cell>
          <cell r="C17" t="str">
            <v>Урсомон 250мг №50</v>
          </cell>
          <cell r="D17">
            <v>16</v>
          </cell>
        </row>
        <row r="18">
          <cell r="B18" t="str">
            <v>0111893</v>
          </cell>
          <cell r="C18" t="str">
            <v>ФЛУРАПИД - Flurapid №8</v>
          </cell>
          <cell r="D18">
            <v>17</v>
          </cell>
        </row>
        <row r="19">
          <cell r="B19" t="str">
            <v>0103511</v>
          </cell>
          <cell r="C19" t="str">
            <v>Гофен №50</v>
          </cell>
          <cell r="D19">
            <v>18</v>
          </cell>
        </row>
        <row r="20">
          <cell r="B20" t="str">
            <v>0110811</v>
          </cell>
          <cell r="C20" t="str">
            <v>Панпирин Кю №5</v>
          </cell>
          <cell r="D20">
            <v>19</v>
          </cell>
        </row>
        <row r="21">
          <cell r="B21" t="str">
            <v>0531917</v>
          </cell>
          <cell r="C21" t="str">
            <v>Vitos shot Бөөр хамгаалах 20мл №15</v>
          </cell>
          <cell r="D21">
            <v>20</v>
          </cell>
        </row>
        <row r="22">
          <cell r="B22" t="str">
            <v>0111023</v>
          </cell>
          <cell r="C22" t="str">
            <v>Дапа-ДМП 10мг №28 шахмал</v>
          </cell>
          <cell r="D22">
            <v>21</v>
          </cell>
        </row>
        <row r="23">
          <cell r="B23" t="str">
            <v>0102778</v>
          </cell>
          <cell r="C23" t="str">
            <v>Клопи Денк 75мг №30</v>
          </cell>
          <cell r="D23">
            <v>22</v>
          </cell>
        </row>
        <row r="24">
          <cell r="B24" t="str">
            <v>0101478</v>
          </cell>
          <cell r="C24" t="str">
            <v>Амоксиклав-Денк500/62.5№14</v>
          </cell>
          <cell r="D24">
            <v>24</v>
          </cell>
        </row>
        <row r="25">
          <cell r="B25" t="str">
            <v>0107733</v>
          </cell>
          <cell r="C25" t="str">
            <v>Урса 250мг №30</v>
          </cell>
          <cell r="D25">
            <v>26</v>
          </cell>
        </row>
        <row r="26">
          <cell r="B26" t="str">
            <v>0107400</v>
          </cell>
          <cell r="C26" t="str">
            <v>АНВИМАКС №12</v>
          </cell>
          <cell r="D26">
            <v>27</v>
          </cell>
        </row>
        <row r="27">
          <cell r="B27" t="str">
            <v>0104832</v>
          </cell>
          <cell r="C27" t="str">
            <v>Ибупрофен 400мг №10/hawon/</v>
          </cell>
          <cell r="D27">
            <v>28</v>
          </cell>
        </row>
        <row r="28">
          <cell r="B28" t="str">
            <v>0106842</v>
          </cell>
          <cell r="C28" t="str">
            <v>ТАЙЛЕНОЛ №24</v>
          </cell>
          <cell r="D28">
            <v>29</v>
          </cell>
        </row>
        <row r="29">
          <cell r="B29" t="str">
            <v>0100485</v>
          </cell>
          <cell r="C29" t="str">
            <v xml:space="preserve">Нефромон 100мл сироп </v>
          </cell>
          <cell r="D29">
            <v>30</v>
          </cell>
        </row>
        <row r="30">
          <cell r="B30" t="str">
            <v>0111516</v>
          </cell>
          <cell r="C30" t="str">
            <v>Дапапрозин 10мг №28</v>
          </cell>
          <cell r="D30">
            <v>31</v>
          </cell>
        </row>
        <row r="31">
          <cell r="B31" t="str">
            <v>0102745</v>
          </cell>
          <cell r="C31" t="str">
            <v>Плавикс 75мг №28</v>
          </cell>
          <cell r="D31">
            <v>33</v>
          </cell>
        </row>
        <row r="32">
          <cell r="B32" t="str">
            <v>0105772</v>
          </cell>
          <cell r="C32" t="str">
            <v>Бетаклав 500мг+ 125мг №14</v>
          </cell>
          <cell r="D32">
            <v>34</v>
          </cell>
        </row>
        <row r="33">
          <cell r="B33" t="str">
            <v>0101457</v>
          </cell>
          <cell r="C33" t="str">
            <v>Урса 200мг №100 капсул Палома</v>
          </cell>
          <cell r="D33">
            <v>36</v>
          </cell>
        </row>
        <row r="34">
          <cell r="B34" t="str">
            <v>0103425</v>
          </cell>
          <cell r="C34" t="str">
            <v>Грипоблок том хүн нунт/уус N12</v>
          </cell>
          <cell r="D34">
            <v>37</v>
          </cell>
        </row>
        <row r="35">
          <cell r="B35" t="str">
            <v>0101607</v>
          </cell>
          <cell r="C35" t="str">
            <v>Ибупрофен 400мг №10/протеч/</v>
          </cell>
          <cell r="D35">
            <v>38</v>
          </cell>
        </row>
        <row r="36">
          <cell r="B36" t="str">
            <v>0109502</v>
          </cell>
          <cell r="C36" t="str">
            <v xml:space="preserve">НЕЦУРЬЮ №12 </v>
          </cell>
          <cell r="D36">
            <v>39</v>
          </cell>
        </row>
        <row r="37">
          <cell r="B37" t="str">
            <v>0103525</v>
          </cell>
          <cell r="C37" t="str">
            <v>Цистон №60</v>
          </cell>
          <cell r="D37">
            <v>40</v>
          </cell>
        </row>
        <row r="38">
          <cell r="B38" t="str">
            <v>0100782</v>
          </cell>
          <cell r="C38" t="str">
            <v>Анифлу №5</v>
          </cell>
          <cell r="D38">
            <v>41</v>
          </cell>
        </row>
        <row r="39">
          <cell r="B39" t="str">
            <v>0101942</v>
          </cell>
          <cell r="C39" t="str">
            <v>Ибупрофен 400мг №10/protech/</v>
          </cell>
          <cell r="D39">
            <v>42</v>
          </cell>
        </row>
        <row r="40">
          <cell r="B40" t="str">
            <v>0111075</v>
          </cell>
          <cell r="C40" t="str">
            <v xml:space="preserve"> Нефрос №60</v>
          </cell>
          <cell r="D40">
            <v>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topLeftCell="A31" workbookViewId="0">
      <selection activeCell="G40" sqref="G16:G40"/>
    </sheetView>
  </sheetViews>
  <sheetFormatPr defaultRowHeight="14.25" outlineLevelRow="3" x14ac:dyDescent="0.45"/>
  <cols>
    <col min="1" max="1" width="4.796875" customWidth="1"/>
    <col min="2" max="2" width="10.796875" customWidth="1"/>
    <col min="3" max="3" width="40.796875" customWidth="1"/>
    <col min="4" max="16" width="12.796875" customWidth="1"/>
    <col min="17" max="19" width="8.86328125" customWidth="1"/>
    <col min="20" max="20" width="9.9296875" bestFit="1" customWidth="1"/>
    <col min="21" max="24" width="8.86328125" customWidth="1"/>
  </cols>
  <sheetData>
    <row r="1" spans="1:25" ht="20" customHeight="1" x14ac:dyDescent="0.45"/>
    <row r="2" spans="1:25" ht="20" customHeight="1" x14ac:dyDescent="0.6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4" spans="1:25" x14ac:dyDescent="0.45">
      <c r="A4" s="6" t="s">
        <v>1</v>
      </c>
      <c r="B4" s="6"/>
      <c r="C4" s="6"/>
      <c r="D4" s="6"/>
      <c r="P4" s="7" t="s">
        <v>10</v>
      </c>
      <c r="Q4" s="7"/>
      <c r="R4" s="7"/>
      <c r="S4" s="7"/>
    </row>
    <row r="5" spans="1:25" x14ac:dyDescent="0.45">
      <c r="A5" s="6" t="s">
        <v>2</v>
      </c>
      <c r="B5" s="6"/>
      <c r="C5" s="6"/>
      <c r="D5" s="6"/>
      <c r="P5" s="7" t="s">
        <v>11</v>
      </c>
      <c r="Q5" s="7"/>
      <c r="R5" s="7"/>
      <c r="S5" s="7"/>
    </row>
    <row r="6" spans="1:25" x14ac:dyDescent="0.45">
      <c r="A6" s="6" t="s">
        <v>3</v>
      </c>
      <c r="B6" s="6"/>
      <c r="C6" s="6"/>
      <c r="D6" s="6"/>
      <c r="P6" s="7" t="s">
        <v>12</v>
      </c>
      <c r="Q6" s="7"/>
      <c r="R6" s="7"/>
      <c r="S6" s="7"/>
    </row>
    <row r="7" spans="1:25" x14ac:dyDescent="0.45">
      <c r="A7" s="6" t="s">
        <v>4</v>
      </c>
      <c r="B7" s="6"/>
      <c r="C7" s="6"/>
      <c r="D7" s="6"/>
      <c r="P7" s="7" t="s">
        <v>13</v>
      </c>
      <c r="Q7" s="7"/>
      <c r="R7" s="7"/>
      <c r="S7" s="7"/>
    </row>
    <row r="8" spans="1:25" x14ac:dyDescent="0.45">
      <c r="A8" s="6" t="s">
        <v>5</v>
      </c>
      <c r="B8" s="6"/>
      <c r="C8" s="6"/>
      <c r="D8" s="6"/>
    </row>
    <row r="9" spans="1:25" x14ac:dyDescent="0.45">
      <c r="A9" s="6" t="s">
        <v>6</v>
      </c>
      <c r="B9" s="6"/>
      <c r="C9" s="6"/>
      <c r="D9" s="6"/>
    </row>
    <row r="10" spans="1:25" x14ac:dyDescent="0.45">
      <c r="A10" s="6" t="s">
        <v>7</v>
      </c>
      <c r="B10" s="6"/>
      <c r="C10" s="6"/>
      <c r="D10" s="6"/>
    </row>
    <row r="11" spans="1:25" x14ac:dyDescent="0.45">
      <c r="A11" s="6" t="s">
        <v>8</v>
      </c>
      <c r="B11" s="6"/>
      <c r="C11" s="6"/>
      <c r="D11" s="6"/>
    </row>
    <row r="12" spans="1:25" ht="32" customHeight="1" x14ac:dyDescent="0.45">
      <c r="A12" s="6" t="s">
        <v>9</v>
      </c>
      <c r="B12" s="6"/>
      <c r="C12" s="6"/>
      <c r="D12" s="6"/>
    </row>
    <row r="14" spans="1:25" x14ac:dyDescent="0.45">
      <c r="A14" s="8" t="s">
        <v>14</v>
      </c>
      <c r="B14" s="8" t="s">
        <v>15</v>
      </c>
      <c r="C14" s="8" t="s">
        <v>16</v>
      </c>
      <c r="D14" s="8" t="s">
        <v>17</v>
      </c>
      <c r="E14" s="8" t="s">
        <v>18</v>
      </c>
      <c r="F14" s="8" t="s">
        <v>19</v>
      </c>
      <c r="G14" s="8"/>
      <c r="H14" s="8"/>
      <c r="I14" s="8"/>
      <c r="J14" s="8"/>
      <c r="K14" s="8"/>
      <c r="L14" s="8"/>
      <c r="M14" s="8" t="s">
        <v>27</v>
      </c>
      <c r="N14" s="8"/>
      <c r="O14" s="8"/>
      <c r="P14" s="8"/>
      <c r="Q14" s="8"/>
      <c r="R14" s="8"/>
      <c r="S14" s="8" t="s">
        <v>28</v>
      </c>
      <c r="T14" s="8"/>
      <c r="U14" s="8" t="s">
        <v>29</v>
      </c>
      <c r="V14" s="8" t="s">
        <v>30</v>
      </c>
      <c r="W14" s="8" t="s">
        <v>31</v>
      </c>
      <c r="X14" s="8" t="s">
        <v>32</v>
      </c>
    </row>
    <row r="15" spans="1:25" ht="23.25" x14ac:dyDescent="0.45">
      <c r="A15" s="8"/>
      <c r="B15" s="8"/>
      <c r="C15" s="8"/>
      <c r="D15" s="8"/>
      <c r="E15" s="8"/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20</v>
      </c>
      <c r="N15" s="1" t="s">
        <v>21</v>
      </c>
      <c r="O15" s="1" t="s">
        <v>22</v>
      </c>
      <c r="P15" s="1" t="s">
        <v>23</v>
      </c>
      <c r="Q15" s="1" t="s">
        <v>24</v>
      </c>
      <c r="R15" s="1" t="s">
        <v>25</v>
      </c>
      <c r="S15" s="1" t="s">
        <v>20</v>
      </c>
      <c r="T15" s="1" t="s">
        <v>21</v>
      </c>
      <c r="U15" s="8"/>
      <c r="V15" s="8"/>
      <c r="W15" s="8"/>
      <c r="X15" s="8"/>
    </row>
    <row r="16" spans="1:25" ht="24" outlineLevel="3" x14ac:dyDescent="0.45">
      <c r="A16" s="2" t="s">
        <v>39</v>
      </c>
      <c r="B16" s="2" t="s">
        <v>40</v>
      </c>
      <c r="C16" s="2" t="s">
        <v>41</v>
      </c>
      <c r="D16" s="2" t="s">
        <v>36</v>
      </c>
      <c r="E16" s="3">
        <v>8000</v>
      </c>
      <c r="F16" s="3">
        <v>179.53530000000029</v>
      </c>
      <c r="G16" s="3">
        <v>7593429.899999979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179.53530000000029</v>
      </c>
      <c r="T16" s="3">
        <v>7593429.899999979</v>
      </c>
      <c r="U16" s="3">
        <v>0</v>
      </c>
      <c r="V16" s="3">
        <v>0</v>
      </c>
      <c r="W16" s="3">
        <v>0</v>
      </c>
      <c r="X16" s="3">
        <v>0</v>
      </c>
      <c r="Y16">
        <f>VLOOKUP(B16,[1]Sheet2!$B$2:$D$40,3,FALSE)</f>
        <v>3</v>
      </c>
    </row>
    <row r="17" spans="1:25" ht="24" outlineLevel="3" x14ac:dyDescent="0.45">
      <c r="A17" s="2" t="s">
        <v>42</v>
      </c>
      <c r="B17" s="2" t="s">
        <v>43</v>
      </c>
      <c r="C17" s="2" t="s">
        <v>44</v>
      </c>
      <c r="D17" s="2" t="s">
        <v>45</v>
      </c>
      <c r="E17" s="3">
        <v>8000</v>
      </c>
      <c r="F17" s="3">
        <v>14.999599999999999</v>
      </c>
      <c r="G17" s="3">
        <v>2462934.3199999989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14.999599999999999</v>
      </c>
      <c r="T17" s="3">
        <v>2462934.3199999989</v>
      </c>
      <c r="U17" s="3">
        <v>0</v>
      </c>
      <c r="V17" s="3">
        <v>0</v>
      </c>
      <c r="W17" s="3">
        <v>0</v>
      </c>
      <c r="X17" s="3">
        <v>0</v>
      </c>
      <c r="Y17">
        <f>VLOOKUP(B17,[1]Sheet2!$B$2:$D$40,3,FALSE)</f>
        <v>33</v>
      </c>
    </row>
    <row r="18" spans="1:25" ht="24" outlineLevel="3" x14ac:dyDescent="0.45">
      <c r="A18" s="2" t="s">
        <v>46</v>
      </c>
      <c r="B18" s="2" t="s">
        <v>47</v>
      </c>
      <c r="C18" s="2" t="s">
        <v>48</v>
      </c>
      <c r="D18" s="2" t="s">
        <v>34</v>
      </c>
      <c r="E18" s="3">
        <v>8000</v>
      </c>
      <c r="F18" s="3">
        <v>44.5747</v>
      </c>
      <c r="G18" s="3">
        <v>2047837.5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44.5747</v>
      </c>
      <c r="T18" s="3">
        <v>2047837.5</v>
      </c>
      <c r="U18" s="3">
        <v>0</v>
      </c>
      <c r="V18" s="3">
        <v>0</v>
      </c>
      <c r="W18" s="3">
        <v>0</v>
      </c>
      <c r="X18" s="3">
        <v>0</v>
      </c>
      <c r="Y18">
        <f>VLOOKUP(B18,[1]Sheet2!$B$2:$D$40,3,FALSE)</f>
        <v>22</v>
      </c>
    </row>
    <row r="19" spans="1:25" ht="24" outlineLevel="3" x14ac:dyDescent="0.45">
      <c r="A19" s="2" t="s">
        <v>49</v>
      </c>
      <c r="B19" s="2" t="s">
        <v>50</v>
      </c>
      <c r="C19" s="2" t="s">
        <v>51</v>
      </c>
      <c r="D19" s="2" t="s">
        <v>36</v>
      </c>
      <c r="E19" s="3">
        <v>8000</v>
      </c>
      <c r="F19" s="3">
        <v>27.44</v>
      </c>
      <c r="G19" s="3">
        <v>926560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27.44</v>
      </c>
      <c r="T19" s="3">
        <v>926560</v>
      </c>
      <c r="U19" s="3">
        <v>0</v>
      </c>
      <c r="V19" s="3">
        <v>0</v>
      </c>
      <c r="W19" s="3">
        <v>0</v>
      </c>
      <c r="X19" s="3">
        <v>0</v>
      </c>
      <c r="Y19">
        <f>VLOOKUP(B19,[1]Sheet2!$B$2:$D$40,3,FALSE)</f>
        <v>12</v>
      </c>
    </row>
    <row r="20" spans="1:25" ht="24" outlineLevel="3" x14ac:dyDescent="0.45">
      <c r="A20" s="2" t="s">
        <v>52</v>
      </c>
      <c r="B20" s="2" t="s">
        <v>53</v>
      </c>
      <c r="C20" s="2" t="s">
        <v>54</v>
      </c>
      <c r="D20" s="2" t="s">
        <v>55</v>
      </c>
      <c r="E20" s="3">
        <v>8000</v>
      </c>
      <c r="F20" s="3">
        <v>43.5</v>
      </c>
      <c r="G20" s="3">
        <v>1226700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43.5</v>
      </c>
      <c r="T20" s="3">
        <v>1226700</v>
      </c>
      <c r="U20" s="3">
        <v>0</v>
      </c>
      <c r="V20" s="3">
        <v>0</v>
      </c>
      <c r="W20" s="3">
        <v>0</v>
      </c>
      <c r="X20" s="3">
        <v>0</v>
      </c>
      <c r="Y20">
        <f>VLOOKUP(B20,[1]Sheet2!$B$2:$D$40,3,FALSE)</f>
        <v>15</v>
      </c>
    </row>
    <row r="21" spans="1:25" ht="35.65" outlineLevel="3" x14ac:dyDescent="0.45">
      <c r="A21" s="2" t="s">
        <v>56</v>
      </c>
      <c r="B21" s="2" t="s">
        <v>57</v>
      </c>
      <c r="C21" s="2" t="s">
        <v>58</v>
      </c>
      <c r="D21" s="2" t="s">
        <v>38</v>
      </c>
      <c r="E21" s="3">
        <v>8000</v>
      </c>
      <c r="F21" s="3">
        <v>145.03760000000011</v>
      </c>
      <c r="G21" s="3">
        <v>4994316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145.03760000000011</v>
      </c>
      <c r="T21" s="3">
        <v>4994316</v>
      </c>
      <c r="U21" s="3">
        <v>0</v>
      </c>
      <c r="V21" s="3">
        <v>0</v>
      </c>
      <c r="W21" s="3">
        <v>0</v>
      </c>
      <c r="X21" s="3">
        <v>391</v>
      </c>
      <c r="Y21">
        <f>VLOOKUP(B21,[1]Sheet2!$B$2:$D$40,3,FALSE)</f>
        <v>4</v>
      </c>
    </row>
    <row r="22" spans="1:25" ht="24" outlineLevel="3" x14ac:dyDescent="0.45">
      <c r="A22" s="2" t="s">
        <v>62</v>
      </c>
      <c r="B22" s="2" t="s">
        <v>63</v>
      </c>
      <c r="C22" s="2" t="s">
        <v>64</v>
      </c>
      <c r="D22" s="2" t="s">
        <v>36</v>
      </c>
      <c r="E22" s="3">
        <v>8000</v>
      </c>
      <c r="F22" s="3">
        <v>8.1435999999999993</v>
      </c>
      <c r="G22" s="3">
        <v>187200.52799999999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8.1435999999999993</v>
      </c>
      <c r="T22" s="3">
        <v>187200.52799999999</v>
      </c>
      <c r="U22" s="3">
        <v>0</v>
      </c>
      <c r="V22" s="3">
        <v>0</v>
      </c>
      <c r="W22" s="3">
        <v>0</v>
      </c>
      <c r="X22" s="3">
        <v>0</v>
      </c>
      <c r="Y22">
        <f>VLOOKUP(B22,[1]Sheet2!$B$2:$D$40,3,FALSE)</f>
        <v>34</v>
      </c>
    </row>
    <row r="23" spans="1:25" outlineLevel="3" x14ac:dyDescent="0.45">
      <c r="A23" s="2" t="s">
        <v>65</v>
      </c>
      <c r="B23" s="2" t="s">
        <v>66</v>
      </c>
      <c r="C23" s="2" t="s">
        <v>67</v>
      </c>
      <c r="D23" s="2" t="s">
        <v>59</v>
      </c>
      <c r="E23" s="3">
        <v>8000</v>
      </c>
      <c r="F23" s="3">
        <v>0.9375</v>
      </c>
      <c r="G23" s="3">
        <v>30000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0.9375</v>
      </c>
      <c r="T23" s="3">
        <v>30000</v>
      </c>
      <c r="U23" s="3">
        <v>0</v>
      </c>
      <c r="V23" s="3">
        <v>0</v>
      </c>
      <c r="W23" s="3">
        <v>0</v>
      </c>
      <c r="X23" s="3">
        <v>0</v>
      </c>
      <c r="Y23">
        <f>VLOOKUP(B23,[1]Sheet2!$B$2:$D$40,3,FALSE)</f>
        <v>14</v>
      </c>
    </row>
    <row r="24" spans="1:25" ht="24" outlineLevel="3" x14ac:dyDescent="0.45">
      <c r="A24" s="2" t="s">
        <v>68</v>
      </c>
      <c r="B24" s="2" t="s">
        <v>69</v>
      </c>
      <c r="C24" s="2" t="s">
        <v>70</v>
      </c>
      <c r="D24" s="2" t="s">
        <v>35</v>
      </c>
      <c r="E24" s="3">
        <v>8000</v>
      </c>
      <c r="F24" s="3">
        <v>81.608100000000007</v>
      </c>
      <c r="G24" s="3">
        <v>4116927.57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81.608100000000007</v>
      </c>
      <c r="T24" s="3">
        <v>4116927.57</v>
      </c>
      <c r="U24" s="3">
        <v>0</v>
      </c>
      <c r="V24" s="3">
        <v>0</v>
      </c>
      <c r="W24" s="3">
        <v>0</v>
      </c>
      <c r="X24" s="3">
        <v>0</v>
      </c>
      <c r="Y24">
        <f>VLOOKUP(B24,[1]Sheet2!$B$2:$D$40,3,FALSE)</f>
        <v>5</v>
      </c>
    </row>
    <row r="25" spans="1:25" ht="24" outlineLevel="3" x14ac:dyDescent="0.45">
      <c r="A25" s="2" t="s">
        <v>73</v>
      </c>
      <c r="B25" s="2" t="s">
        <v>74</v>
      </c>
      <c r="C25" s="2" t="s">
        <v>75</v>
      </c>
      <c r="D25" s="2" t="s">
        <v>72</v>
      </c>
      <c r="E25" s="3">
        <v>8000</v>
      </c>
      <c r="F25" s="3">
        <v>59.249899999999933</v>
      </c>
      <c r="G25" s="3">
        <v>9854090.195999993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59.249899999999933</v>
      </c>
      <c r="T25" s="3">
        <v>9854090.195999993</v>
      </c>
      <c r="U25" s="3">
        <v>0</v>
      </c>
      <c r="V25" s="3">
        <v>0</v>
      </c>
      <c r="W25" s="3">
        <v>0</v>
      </c>
      <c r="X25" s="3">
        <v>0</v>
      </c>
      <c r="Y25">
        <f>VLOOKUP(B25,[1]Sheet2!$B$2:$D$40,3,FALSE)</f>
        <v>1</v>
      </c>
    </row>
    <row r="26" spans="1:25" ht="24" outlineLevel="3" x14ac:dyDescent="0.45">
      <c r="A26" s="2" t="s">
        <v>76</v>
      </c>
      <c r="B26" s="2" t="s">
        <v>77</v>
      </c>
      <c r="C26" s="2" t="s">
        <v>78</v>
      </c>
      <c r="D26" s="2" t="s">
        <v>37</v>
      </c>
      <c r="E26" s="3">
        <v>8000</v>
      </c>
      <c r="F26" s="3">
        <v>125.6888999999998</v>
      </c>
      <c r="G26" s="3">
        <v>5730354.5199999996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125.6888999999998</v>
      </c>
      <c r="T26" s="3">
        <v>5730354.5199999996</v>
      </c>
      <c r="U26" s="3">
        <v>0</v>
      </c>
      <c r="V26" s="3">
        <v>0</v>
      </c>
      <c r="W26" s="3">
        <v>0</v>
      </c>
      <c r="X26" s="3">
        <v>0</v>
      </c>
      <c r="Y26">
        <f>VLOOKUP(B26,[1]Sheet2!$B$2:$D$40,3,FALSE)</f>
        <v>2</v>
      </c>
    </row>
    <row r="27" spans="1:25" ht="35.65" outlineLevel="3" x14ac:dyDescent="0.45">
      <c r="A27" s="2" t="s">
        <v>79</v>
      </c>
      <c r="B27" s="2" t="s">
        <v>80</v>
      </c>
      <c r="C27" s="2" t="s">
        <v>81</v>
      </c>
      <c r="D27" s="2" t="s">
        <v>82</v>
      </c>
      <c r="E27" s="3">
        <v>8000</v>
      </c>
      <c r="F27" s="3">
        <v>1</v>
      </c>
      <c r="G27" s="3">
        <v>47400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47400</v>
      </c>
      <c r="U27" s="3">
        <v>0</v>
      </c>
      <c r="V27" s="3">
        <v>0</v>
      </c>
      <c r="W27" s="3">
        <v>0</v>
      </c>
      <c r="X27" s="3">
        <v>0</v>
      </c>
      <c r="Y27">
        <f>VLOOKUP(B27,[1]Sheet2!$B$2:$D$40,3,FALSE)</f>
        <v>11</v>
      </c>
    </row>
    <row r="28" spans="1:25" ht="24" outlineLevel="3" x14ac:dyDescent="0.45">
      <c r="A28" s="2" t="s">
        <v>83</v>
      </c>
      <c r="B28" s="2" t="s">
        <v>84</v>
      </c>
      <c r="C28" s="2" t="s">
        <v>85</v>
      </c>
      <c r="D28" s="2" t="s">
        <v>33</v>
      </c>
      <c r="E28" s="3">
        <v>8000</v>
      </c>
      <c r="F28" s="3">
        <v>8</v>
      </c>
      <c r="G28" s="3">
        <v>52400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8</v>
      </c>
      <c r="T28" s="3">
        <v>52400</v>
      </c>
      <c r="U28" s="3">
        <v>0</v>
      </c>
      <c r="V28" s="3">
        <v>0</v>
      </c>
      <c r="W28" s="3">
        <v>0</v>
      </c>
      <c r="X28" s="3">
        <v>0</v>
      </c>
      <c r="Y28">
        <f>VLOOKUP(B28,[1]Sheet2!$B$2:$D$40,3,FALSE)</f>
        <v>30</v>
      </c>
    </row>
    <row r="29" spans="1:25" ht="24" outlineLevel="3" x14ac:dyDescent="0.45">
      <c r="A29" s="2" t="s">
        <v>86</v>
      </c>
      <c r="B29" s="2" t="s">
        <v>87</v>
      </c>
      <c r="C29" s="2" t="s">
        <v>88</v>
      </c>
      <c r="D29" s="2" t="s">
        <v>33</v>
      </c>
      <c r="E29" s="3">
        <v>8000</v>
      </c>
      <c r="F29" s="3">
        <v>52.300000000000018</v>
      </c>
      <c r="G29" s="3">
        <v>2906596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52.300000000000018</v>
      </c>
      <c r="T29" s="3">
        <v>2906596</v>
      </c>
      <c r="U29" s="3">
        <v>0</v>
      </c>
      <c r="V29" s="3">
        <v>0</v>
      </c>
      <c r="W29" s="3">
        <v>637</v>
      </c>
      <c r="X29" s="3">
        <v>7968</v>
      </c>
      <c r="Y29">
        <f>VLOOKUP(B29,[1]Sheet2!$B$2:$D$40,3,FALSE)</f>
        <v>16</v>
      </c>
    </row>
    <row r="30" spans="1:25" ht="24" outlineLevel="3" x14ac:dyDescent="0.45">
      <c r="A30" s="2" t="s">
        <v>89</v>
      </c>
      <c r="B30" s="2" t="s">
        <v>90</v>
      </c>
      <c r="C30" s="2" t="s">
        <v>91</v>
      </c>
      <c r="D30" s="2" t="s">
        <v>92</v>
      </c>
      <c r="E30" s="3">
        <v>8000</v>
      </c>
      <c r="F30" s="3">
        <v>46.300000000000061</v>
      </c>
      <c r="G30" s="3">
        <v>1875150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46.300000000000061</v>
      </c>
      <c r="T30" s="3">
        <v>1875150</v>
      </c>
      <c r="U30" s="3">
        <v>0</v>
      </c>
      <c r="V30" s="3">
        <v>0</v>
      </c>
      <c r="W30" s="3">
        <v>0</v>
      </c>
      <c r="X30" s="3">
        <v>3866</v>
      </c>
      <c r="Y30">
        <f>VLOOKUP(B30,[1]Sheet2!$B$2:$D$40,3,FALSE)</f>
        <v>7</v>
      </c>
    </row>
    <row r="31" spans="1:25" ht="24" outlineLevel="3" x14ac:dyDescent="0.45">
      <c r="A31" s="2" t="s">
        <v>94</v>
      </c>
      <c r="B31" s="2" t="s">
        <v>95</v>
      </c>
      <c r="C31" s="2" t="s">
        <v>96</v>
      </c>
      <c r="D31" s="2" t="s">
        <v>97</v>
      </c>
      <c r="E31" s="3">
        <v>8000</v>
      </c>
      <c r="F31" s="3">
        <v>38.180000000000021</v>
      </c>
      <c r="G31" s="3">
        <v>6914220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38.180000000000021</v>
      </c>
      <c r="T31" s="3">
        <v>6914220</v>
      </c>
      <c r="U31" s="3">
        <v>0</v>
      </c>
      <c r="V31" s="3">
        <v>0</v>
      </c>
      <c r="W31" s="3">
        <v>0</v>
      </c>
      <c r="X31" s="3">
        <v>0</v>
      </c>
      <c r="Y31">
        <f>VLOOKUP(B31,[1]Sheet2!$B$2:$D$40,3,FALSE)</f>
        <v>6</v>
      </c>
    </row>
    <row r="32" spans="1:25" ht="24" outlineLevel="3" x14ac:dyDescent="0.45">
      <c r="A32" s="2" t="s">
        <v>99</v>
      </c>
      <c r="B32" s="2" t="s">
        <v>100</v>
      </c>
      <c r="C32" s="2" t="s">
        <v>101</v>
      </c>
      <c r="D32" s="2" t="s">
        <v>61</v>
      </c>
      <c r="E32" s="3">
        <v>8000</v>
      </c>
      <c r="F32" s="3">
        <v>3.5</v>
      </c>
      <c r="G32" s="3">
        <v>87500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3.5</v>
      </c>
      <c r="T32" s="3">
        <v>87500</v>
      </c>
      <c r="U32" s="3">
        <v>0</v>
      </c>
      <c r="V32" s="3">
        <v>0</v>
      </c>
      <c r="W32" s="3">
        <v>0</v>
      </c>
      <c r="X32" s="3">
        <v>0</v>
      </c>
      <c r="Y32">
        <f>VLOOKUP(B32,[1]Sheet2!$B$2:$D$40,3,FALSE)</f>
        <v>37</v>
      </c>
    </row>
    <row r="33" spans="1:25" ht="35.65" outlineLevel="3" x14ac:dyDescent="0.45">
      <c r="A33" s="2" t="s">
        <v>102</v>
      </c>
      <c r="B33" s="2" t="s">
        <v>103</v>
      </c>
      <c r="C33" s="2" t="s">
        <v>104</v>
      </c>
      <c r="D33" s="2" t="s">
        <v>71</v>
      </c>
      <c r="E33" s="3">
        <v>8000</v>
      </c>
      <c r="F33" s="3">
        <v>2.600000000000001</v>
      </c>
      <c r="G33" s="3">
        <v>151980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2.600000000000001</v>
      </c>
      <c r="T33" s="3">
        <v>151980</v>
      </c>
      <c r="U33" s="3">
        <v>0</v>
      </c>
      <c r="V33" s="3">
        <v>0</v>
      </c>
      <c r="W33" s="3">
        <v>0</v>
      </c>
      <c r="X33" s="3">
        <v>0</v>
      </c>
      <c r="Y33">
        <f>VLOOKUP(B33,[1]Sheet2!$B$2:$D$40,3,FALSE)</f>
        <v>18</v>
      </c>
    </row>
    <row r="34" spans="1:25" ht="24" outlineLevel="3" x14ac:dyDescent="0.45">
      <c r="A34" s="2" t="s">
        <v>105</v>
      </c>
      <c r="B34" s="2" t="s">
        <v>106</v>
      </c>
      <c r="C34" s="2" t="s">
        <v>107</v>
      </c>
      <c r="D34" s="2" t="s">
        <v>34</v>
      </c>
      <c r="E34" s="3">
        <v>8000</v>
      </c>
      <c r="F34" s="3">
        <v>28.5500000000001</v>
      </c>
      <c r="G34" s="3">
        <v>1741550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28.5500000000001</v>
      </c>
      <c r="T34" s="3">
        <v>1741550</v>
      </c>
      <c r="U34" s="3">
        <v>0</v>
      </c>
      <c r="V34" s="3">
        <v>0</v>
      </c>
      <c r="W34" s="3">
        <v>0</v>
      </c>
      <c r="X34" s="3">
        <v>4708</v>
      </c>
      <c r="Y34">
        <f>VLOOKUP(B34,[1]Sheet2!$B$2:$D$40,3,FALSE)</f>
        <v>8</v>
      </c>
    </row>
    <row r="35" spans="1:25" outlineLevel="3" x14ac:dyDescent="0.45">
      <c r="A35" s="2" t="s">
        <v>108</v>
      </c>
      <c r="B35" s="2" t="s">
        <v>109</v>
      </c>
      <c r="C35" s="2" t="s">
        <v>110</v>
      </c>
      <c r="D35" s="2" t="s">
        <v>98</v>
      </c>
      <c r="E35" s="3">
        <v>8000</v>
      </c>
      <c r="F35" s="3">
        <v>47.720000000000027</v>
      </c>
      <c r="G35" s="3">
        <v>2276244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47.720000000000027</v>
      </c>
      <c r="T35" s="3">
        <v>2276244</v>
      </c>
      <c r="U35" s="3">
        <v>0</v>
      </c>
      <c r="V35" s="3">
        <v>0</v>
      </c>
      <c r="W35" s="3">
        <v>0</v>
      </c>
      <c r="X35" s="3">
        <v>0</v>
      </c>
      <c r="Y35">
        <f>VLOOKUP(B35,[1]Sheet2!$B$2:$D$40,3,FALSE)</f>
        <v>10</v>
      </c>
    </row>
    <row r="36" spans="1:25" ht="24" outlineLevel="3" x14ac:dyDescent="0.45">
      <c r="A36" s="2" t="s">
        <v>111</v>
      </c>
      <c r="B36" s="2" t="s">
        <v>112</v>
      </c>
      <c r="C36" s="2" t="s">
        <v>113</v>
      </c>
      <c r="D36" s="2" t="s">
        <v>93</v>
      </c>
      <c r="E36" s="3">
        <v>8000</v>
      </c>
      <c r="F36" s="3">
        <v>90</v>
      </c>
      <c r="G36" s="3">
        <v>1665000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90</v>
      </c>
      <c r="T36" s="3">
        <v>1665000</v>
      </c>
      <c r="U36" s="3">
        <v>0</v>
      </c>
      <c r="V36" s="3">
        <v>0</v>
      </c>
      <c r="W36" s="3">
        <v>0</v>
      </c>
      <c r="X36" s="3">
        <v>0</v>
      </c>
      <c r="Y36">
        <f>VLOOKUP(B36,[1]Sheet2!$B$2:$D$40,3,FALSE)</f>
        <v>40</v>
      </c>
    </row>
    <row r="37" spans="1:25" ht="24" outlineLevel="3" x14ac:dyDescent="0.45">
      <c r="A37" s="2" t="s">
        <v>114</v>
      </c>
      <c r="B37" s="2" t="s">
        <v>115</v>
      </c>
      <c r="C37" s="2" t="s">
        <v>116</v>
      </c>
      <c r="D37" s="2" t="s">
        <v>117</v>
      </c>
      <c r="E37" s="3">
        <v>8000</v>
      </c>
      <c r="F37" s="3">
        <v>32.838400000000021</v>
      </c>
      <c r="G37" s="3">
        <v>1116505.6000000001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32.838400000000021</v>
      </c>
      <c r="T37" s="3">
        <v>1116505.6000000001</v>
      </c>
      <c r="U37" s="3">
        <v>0</v>
      </c>
      <c r="V37" s="3">
        <v>0</v>
      </c>
      <c r="W37" s="3">
        <v>0</v>
      </c>
      <c r="X37" s="3">
        <v>456</v>
      </c>
      <c r="Y37">
        <f>VLOOKUP(B37,[1]Sheet2!$B$2:$D$40,3,FALSE)</f>
        <v>27</v>
      </c>
    </row>
    <row r="38" spans="1:25" ht="35.65" outlineLevel="3" x14ac:dyDescent="0.45">
      <c r="A38" s="2" t="s">
        <v>118</v>
      </c>
      <c r="B38" s="2" t="s">
        <v>119</v>
      </c>
      <c r="C38" s="2" t="s">
        <v>120</v>
      </c>
      <c r="D38" s="2" t="s">
        <v>121</v>
      </c>
      <c r="E38" s="3">
        <v>8000</v>
      </c>
      <c r="F38" s="3">
        <v>2.25</v>
      </c>
      <c r="G38" s="3">
        <v>87750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2.25</v>
      </c>
      <c r="T38" s="3">
        <v>87750</v>
      </c>
      <c r="U38" s="3">
        <v>0</v>
      </c>
      <c r="V38" s="3">
        <v>0</v>
      </c>
      <c r="W38" s="3">
        <v>0</v>
      </c>
      <c r="X38" s="3">
        <v>0</v>
      </c>
      <c r="Y38">
        <f>VLOOKUP(B38,[1]Sheet2!$B$2:$D$40,3,FALSE)</f>
        <v>39</v>
      </c>
    </row>
    <row r="39" spans="1:25" ht="24" outlineLevel="3" x14ac:dyDescent="0.45">
      <c r="A39" s="2" t="s">
        <v>122</v>
      </c>
      <c r="B39" s="2" t="s">
        <v>123</v>
      </c>
      <c r="C39" s="2" t="s">
        <v>124</v>
      </c>
      <c r="D39" s="2" t="s">
        <v>60</v>
      </c>
      <c r="E39" s="3">
        <v>8000</v>
      </c>
      <c r="F39" s="3">
        <v>17.399999999999999</v>
      </c>
      <c r="G39" s="3">
        <v>963960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17.399999999999999</v>
      </c>
      <c r="T39" s="3">
        <v>963960</v>
      </c>
      <c r="U39" s="3">
        <v>0</v>
      </c>
      <c r="V39" s="3">
        <v>0</v>
      </c>
      <c r="W39" s="3">
        <v>0</v>
      </c>
      <c r="X39" s="3">
        <v>0</v>
      </c>
      <c r="Y39">
        <f>VLOOKUP(B39,[1]Sheet2!$B$2:$D$40,3,FALSE)</f>
        <v>9</v>
      </c>
    </row>
    <row r="40" spans="1:25" ht="24" outlineLevel="3" x14ac:dyDescent="0.45">
      <c r="A40" s="2" t="s">
        <v>126</v>
      </c>
      <c r="B40" s="2" t="s">
        <v>127</v>
      </c>
      <c r="C40" s="2" t="s">
        <v>128</v>
      </c>
      <c r="D40" s="2" t="s">
        <v>125</v>
      </c>
      <c r="E40" s="3">
        <v>8000</v>
      </c>
      <c r="F40" s="3">
        <v>2.8</v>
      </c>
      <c r="G40" s="3">
        <v>42000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2.8</v>
      </c>
      <c r="T40" s="3">
        <v>42000</v>
      </c>
      <c r="U40" s="3">
        <v>0</v>
      </c>
      <c r="V40" s="3">
        <v>0</v>
      </c>
      <c r="W40" s="3">
        <v>0</v>
      </c>
      <c r="X40" s="3">
        <v>0</v>
      </c>
      <c r="Y40">
        <f>VLOOKUP(B40,[1]Sheet2!$B$2:$D$40,3,FALSE)</f>
        <v>19</v>
      </c>
    </row>
    <row r="42" spans="1:25" ht="14.45" customHeight="1" x14ac:dyDescent="0.45">
      <c r="B42" s="4" t="s">
        <v>129</v>
      </c>
      <c r="C42" s="4"/>
      <c r="D42" s="4"/>
      <c r="E42" s="4"/>
    </row>
    <row r="43" spans="1:25" ht="14.45" customHeight="1" x14ac:dyDescent="0.45">
      <c r="B43" s="4" t="s">
        <v>130</v>
      </c>
      <c r="C43" s="4"/>
      <c r="D43" s="4"/>
      <c r="E43" s="4"/>
    </row>
    <row r="44" spans="1:25" ht="14.45" customHeight="1" x14ac:dyDescent="0.45">
      <c r="B44" s="4" t="s">
        <v>131</v>
      </c>
      <c r="C44" s="4"/>
      <c r="D44" s="4"/>
      <c r="E44" s="4"/>
    </row>
  </sheetData>
  <mergeCells count="26">
    <mergeCell ref="W14:W15"/>
    <mergeCell ref="X14:X15"/>
    <mergeCell ref="E14:E15"/>
    <mergeCell ref="F14:L14"/>
    <mergeCell ref="M14:R14"/>
    <mergeCell ref="S14:T14"/>
    <mergeCell ref="U14:U15"/>
    <mergeCell ref="A14:A15"/>
    <mergeCell ref="B14:B15"/>
    <mergeCell ref="C14:C15"/>
    <mergeCell ref="D14:D15"/>
    <mergeCell ref="V14:V15"/>
    <mergeCell ref="A8:D8"/>
    <mergeCell ref="A9:D9"/>
    <mergeCell ref="A10:D10"/>
    <mergeCell ref="A11:D11"/>
    <mergeCell ref="A12:D12"/>
    <mergeCell ref="A2:S2"/>
    <mergeCell ref="A4:D4"/>
    <mergeCell ref="A5:D5"/>
    <mergeCell ref="A6:D6"/>
    <mergeCell ref="A7:D7"/>
    <mergeCell ref="P4:S4"/>
    <mergeCell ref="P5:S5"/>
    <mergeCell ref="P6:S6"/>
    <mergeCell ref="P7:S7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Order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Монос Оффицер</dc:creator>
  <cp:lastModifiedBy>SQ1</cp:lastModifiedBy>
  <dcterms:created xsi:type="dcterms:W3CDTF">2026-08-30T11:45:43Z</dcterms:created>
  <dcterms:modified xsi:type="dcterms:W3CDTF">2026-09-03T13:05:56Z</dcterms:modified>
</cp:coreProperties>
</file>